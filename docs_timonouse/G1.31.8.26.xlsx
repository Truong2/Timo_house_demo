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ngoc oi\TÀI CHÍNH THÁNG 8.2026\"/>
    </mc:Choice>
  </mc:AlternateContent>
  <xr:revisionPtr revIDLastSave="0" documentId="8_{781F7009-6B32-4836-996B-B961623C92FA}" xr6:coauthVersionLast="47" xr6:coauthVersionMax="47" xr10:uidLastSave="{00000000-0000-0000-0000-000000000000}"/>
  <bookViews>
    <workbookView xWindow="-110" yWindow="-110" windowWidth="19420" windowHeight="11500" firstSheet="12" activeTab="15" xr2:uid="{8B4F7B50-F274-4993-9E0B-A9B47366619B}"/>
  </bookViews>
  <sheets>
    <sheet name="ĐẦU TƯ BAN ĐẦU" sheetId="1" r:id="rId1"/>
    <sheet name="THU CHI BAN ĐẦU" sheetId="2" r:id="rId2"/>
    <sheet name="HD T1.26" sheetId="3" r:id="rId3"/>
    <sheet name="BÁO CÁO THÁNG 2" sheetId="4" r:id="rId4"/>
    <sheet name="HĐ T2.26" sheetId="5" r:id="rId5"/>
    <sheet name="BÁO CÁO THÁNG 3" sheetId="6" r:id="rId6"/>
    <sheet name="HĐ T3.26 " sheetId="7" r:id="rId7"/>
    <sheet name="BÁO CÁO THÁNG 4" sheetId="8" r:id="rId8"/>
    <sheet name="HĐ T4.26 " sheetId="9" r:id="rId9"/>
    <sheet name="BÁO CÁO THÁNG 5" sheetId="10" r:id="rId10"/>
    <sheet name="HĐ T5.26 " sheetId="11" r:id="rId11"/>
    <sheet name="BÁO CÁO THÁNG 6" sheetId="12" r:id="rId12"/>
    <sheet name="HĐ T6.26 " sheetId="13" r:id="rId13"/>
    <sheet name="BÁO CÁO THÁNG 7" sheetId="14" r:id="rId14"/>
    <sheet name="HĐ T7.26  " sheetId="15" r:id="rId15"/>
    <sheet name="BÁO CÁO THÁNG 8" sheetId="16" r:id="rId16"/>
    <sheet name="HĐ T8.26  " sheetId="17" r:id="rId17"/>
  </sheets>
  <externalReferences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_xlnm._FilterDatabase" localSheetId="2" hidden="1">'HD T1.26'!$A$2:$CC$146</definedName>
    <definedName name="_xlnm._FilterDatabase" localSheetId="1" hidden="1">'THU CHI BAN ĐẦU'!$A$2:$W$139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16" l="1"/>
  <c r="C13" i="16"/>
  <c r="C46" i="16"/>
  <c r="C45" i="16"/>
  <c r="C43" i="16"/>
  <c r="C42" i="16"/>
  <c r="C40" i="16"/>
  <c r="C39" i="16"/>
  <c r="C38" i="16"/>
  <c r="C37" i="16"/>
  <c r="C36" i="16"/>
  <c r="AW2" i="17"/>
  <c r="C15" i="16"/>
  <c r="C19" i="16"/>
  <c r="C18" i="16"/>
  <c r="C16" i="16"/>
  <c r="C14" i="16"/>
  <c r="C12" i="16"/>
  <c r="C17" i="16"/>
  <c r="AX17" i="17"/>
  <c r="AX2" i="17"/>
  <c r="AR19" i="17"/>
  <c r="AT19" i="17" s="1"/>
  <c r="AQ19" i="17"/>
  <c r="AH19" i="17"/>
  <c r="AE19" i="17"/>
  <c r="Y19" i="17"/>
  <c r="R19" i="17"/>
  <c r="T19" i="17" s="1"/>
  <c r="AU19" i="17" s="1"/>
  <c r="AV19" i="17" s="1"/>
  <c r="AR18" i="17"/>
  <c r="AT18" i="17" s="1"/>
  <c r="AQ18" i="17"/>
  <c r="AH18" i="17"/>
  <c r="AE18" i="17"/>
  <c r="AB18" i="17"/>
  <c r="Y18" i="17"/>
  <c r="T18" i="17"/>
  <c r="R18" i="17"/>
  <c r="AT17" i="17"/>
  <c r="AQ17" i="17"/>
  <c r="AH17" i="17"/>
  <c r="AE17" i="17"/>
  <c r="Y17" i="17"/>
  <c r="R17" i="17"/>
  <c r="T17" i="17" s="1"/>
  <c r="AU17" i="17" s="1"/>
  <c r="AV17" i="17" s="1"/>
  <c r="AT16" i="17"/>
  <c r="AQ16" i="17"/>
  <c r="AH16" i="17"/>
  <c r="AE16" i="17"/>
  <c r="Y16" i="17"/>
  <c r="R16" i="17"/>
  <c r="T16" i="17" s="1"/>
  <c r="AU16" i="17" s="1"/>
  <c r="AV16" i="17" s="1"/>
  <c r="AT15" i="17"/>
  <c r="AQ15" i="17"/>
  <c r="AH15" i="17"/>
  <c r="AE15" i="17"/>
  <c r="Y15" i="17"/>
  <c r="R15" i="17"/>
  <c r="T15" i="17" s="1"/>
  <c r="AU15" i="17" s="1"/>
  <c r="AV15" i="17" s="1"/>
  <c r="G15" i="17"/>
  <c r="AX14" i="17"/>
  <c r="AZ14" i="17" s="1"/>
  <c r="AT14" i="17"/>
  <c r="AQ14" i="17"/>
  <c r="AK14" i="17"/>
  <c r="AH14" i="17"/>
  <c r="AE14" i="17"/>
  <c r="Y14" i="17"/>
  <c r="R14" i="17"/>
  <c r="T14" i="17" s="1"/>
  <c r="AU14" i="17" s="1"/>
  <c r="AV14" i="17" s="1"/>
  <c r="AY14" i="17" s="1"/>
  <c r="AT13" i="17"/>
  <c r="AQ13" i="17"/>
  <c r="AH13" i="17"/>
  <c r="AE13" i="17"/>
  <c r="AU13" i="17" s="1"/>
  <c r="AV13" i="17" s="1"/>
  <c r="Y13" i="17"/>
  <c r="T13" i="17"/>
  <c r="R13" i="17"/>
  <c r="G13" i="17"/>
  <c r="AT12" i="17"/>
  <c r="AQ12" i="17"/>
  <c r="AH12" i="17"/>
  <c r="AE12" i="17"/>
  <c r="AB12" i="17"/>
  <c r="AB2" i="17" s="1"/>
  <c r="Y12" i="17"/>
  <c r="R12" i="17"/>
  <c r="T12" i="17" s="1"/>
  <c r="AU12" i="17" s="1"/>
  <c r="AV12" i="17" s="1"/>
  <c r="AT11" i="17"/>
  <c r="AQ11" i="17"/>
  <c r="AH11" i="17"/>
  <c r="AE11" i="17"/>
  <c r="AB11" i="17"/>
  <c r="Y11" i="17"/>
  <c r="R11" i="17"/>
  <c r="T11" i="17" s="1"/>
  <c r="AU11" i="17" s="1"/>
  <c r="AV11" i="17" s="1"/>
  <c r="CC10" i="17"/>
  <c r="CE10" i="17" s="1"/>
  <c r="CG10" i="17" s="1"/>
  <c r="AT10" i="17"/>
  <c r="AQ10" i="17"/>
  <c r="AK10" i="17"/>
  <c r="AH10" i="17"/>
  <c r="AE10" i="17"/>
  <c r="Y10" i="17"/>
  <c r="T10" i="17"/>
  <c r="AU10" i="17" s="1"/>
  <c r="AV10" i="17" s="1"/>
  <c r="R10" i="17"/>
  <c r="CC9" i="17"/>
  <c r="CE9" i="17" s="1"/>
  <c r="CG9" i="17" s="1"/>
  <c r="AT9" i="17"/>
  <c r="AQ9" i="17"/>
  <c r="AK9" i="17"/>
  <c r="AH9" i="17"/>
  <c r="AE9" i="17"/>
  <c r="Y9" i="17"/>
  <c r="R9" i="17"/>
  <c r="T9" i="17" s="1"/>
  <c r="AU9" i="17" s="1"/>
  <c r="AV9" i="17" s="1"/>
  <c r="CC8" i="17"/>
  <c r="CE8" i="17" s="1"/>
  <c r="CG8" i="17" s="1"/>
  <c r="AX8" i="17"/>
  <c r="AT8" i="17"/>
  <c r="AQ8" i="17"/>
  <c r="AH8" i="17"/>
  <c r="AE8" i="17"/>
  <c r="Y8" i="17"/>
  <c r="T8" i="17"/>
  <c r="AU8" i="17" s="1"/>
  <c r="AV8" i="17" s="1"/>
  <c r="AY8" i="17" s="1"/>
  <c r="R8" i="17"/>
  <c r="CC7" i="17"/>
  <c r="CE7" i="17" s="1"/>
  <c r="CG7" i="17" s="1"/>
  <c r="AT7" i="17"/>
  <c r="AQ7" i="17"/>
  <c r="AN7" i="17"/>
  <c r="AH7" i="17"/>
  <c r="AE7" i="17"/>
  <c r="Y7" i="17"/>
  <c r="R7" i="17"/>
  <c r="T7" i="17" s="1"/>
  <c r="AU7" i="17" s="1"/>
  <c r="AV7" i="17" s="1"/>
  <c r="CE6" i="17"/>
  <c r="CG6" i="17" s="1"/>
  <c r="CC6" i="17"/>
  <c r="AT6" i="17"/>
  <c r="AQ6" i="17"/>
  <c r="AK6" i="17"/>
  <c r="AH6" i="17"/>
  <c r="AE6" i="17"/>
  <c r="Y6" i="17"/>
  <c r="Y2" i="17" s="1"/>
  <c r="R6" i="17"/>
  <c r="R2" i="17" s="1"/>
  <c r="AX5" i="17"/>
  <c r="AT5" i="17"/>
  <c r="AQ5" i="17"/>
  <c r="AQ2" i="17" s="1"/>
  <c r="AH5" i="17"/>
  <c r="AH2" i="17" s="1"/>
  <c r="AE5" i="17"/>
  <c r="AU5" i="17" s="1"/>
  <c r="AV5" i="17" s="1"/>
  <c r="Y5" i="17"/>
  <c r="T5" i="17"/>
  <c r="R5" i="17"/>
  <c r="AX4" i="17"/>
  <c r="AU4" i="17"/>
  <c r="AV4" i="17" s="1"/>
  <c r="AY4" i="17" s="1"/>
  <c r="T4" i="17"/>
  <c r="G2" i="17"/>
  <c r="AN2" i="17"/>
  <c r="AK2" i="17"/>
  <c r="AY3" i="17"/>
  <c r="AS2" i="17"/>
  <c r="AP2" i="17"/>
  <c r="AO2" i="17"/>
  <c r="AM2" i="17"/>
  <c r="AL2" i="17"/>
  <c r="AJ2" i="17"/>
  <c r="AI2" i="17"/>
  <c r="AG2" i="17"/>
  <c r="AF2" i="17"/>
  <c r="AD2" i="17"/>
  <c r="AC2" i="17"/>
  <c r="AA2" i="17"/>
  <c r="Z2" i="17"/>
  <c r="X2" i="17"/>
  <c r="W2" i="17"/>
  <c r="V2" i="17"/>
  <c r="U2" i="17"/>
  <c r="S2" i="17"/>
  <c r="Q2" i="17"/>
  <c r="P2" i="17"/>
  <c r="O2" i="17"/>
  <c r="N2" i="17"/>
  <c r="M2" i="17"/>
  <c r="L2" i="17"/>
  <c r="K2" i="17"/>
  <c r="J2" i="17"/>
  <c r="I2" i="17"/>
  <c r="H2" i="17"/>
  <c r="C34" i="16"/>
  <c r="C75" i="16" s="1"/>
  <c r="G13" i="16"/>
  <c r="H11" i="16"/>
  <c r="H10" i="16"/>
  <c r="H9" i="16"/>
  <c r="H8" i="16"/>
  <c r="H7" i="16"/>
  <c r="H6" i="16"/>
  <c r="H5" i="16"/>
  <c r="H4" i="16"/>
  <c r="H13" i="16" s="1"/>
  <c r="H3" i="16"/>
  <c r="C46" i="14"/>
  <c r="C45" i="14"/>
  <c r="C43" i="14"/>
  <c r="C42" i="14"/>
  <c r="C40" i="14"/>
  <c r="C39" i="14"/>
  <c r="C37" i="14"/>
  <c r="C36" i="14"/>
  <c r="C35" i="14"/>
  <c r="C13" i="14"/>
  <c r="C19" i="14"/>
  <c r="C18" i="14"/>
  <c r="C17" i="14"/>
  <c r="C16" i="14"/>
  <c r="C15" i="14"/>
  <c r="C14" i="14"/>
  <c r="C12" i="14"/>
  <c r="C2" i="14"/>
  <c r="AR19" i="15"/>
  <c r="AT19" i="15" s="1"/>
  <c r="AQ19" i="15"/>
  <c r="AH19" i="15"/>
  <c r="AE19" i="15"/>
  <c r="Y19" i="15"/>
  <c r="T19" i="15"/>
  <c r="AU19" i="15" s="1"/>
  <c r="AV19" i="15" s="1"/>
  <c r="R19" i="15"/>
  <c r="AT18" i="15"/>
  <c r="AR18" i="15"/>
  <c r="AQ18" i="15"/>
  <c r="AH18" i="15"/>
  <c r="AE18" i="15"/>
  <c r="AB18" i="15"/>
  <c r="Y18" i="15"/>
  <c r="T18" i="15"/>
  <c r="AU18" i="15" s="1"/>
  <c r="AV18" i="15" s="1"/>
  <c r="R18" i="15"/>
  <c r="AX17" i="15"/>
  <c r="AT17" i="15"/>
  <c r="AQ17" i="15"/>
  <c r="AH17" i="15"/>
  <c r="AE17" i="15"/>
  <c r="Y17" i="15"/>
  <c r="T17" i="15"/>
  <c r="AU17" i="15" s="1"/>
  <c r="AV17" i="15" s="1"/>
  <c r="AY17" i="15" s="1"/>
  <c r="R17" i="15"/>
  <c r="AT16" i="15"/>
  <c r="AQ16" i="15"/>
  <c r="AH16" i="15"/>
  <c r="AE16" i="15"/>
  <c r="Y16" i="15"/>
  <c r="R16" i="15"/>
  <c r="T16" i="15" s="1"/>
  <c r="AU16" i="15" s="1"/>
  <c r="AV16" i="15" s="1"/>
  <c r="AT15" i="15"/>
  <c r="AQ15" i="15"/>
  <c r="AH15" i="15"/>
  <c r="AE15" i="15"/>
  <c r="Y15" i="15"/>
  <c r="R15" i="15"/>
  <c r="T15" i="15" s="1"/>
  <c r="AU15" i="15" s="1"/>
  <c r="AV15" i="15" s="1"/>
  <c r="G15" i="15"/>
  <c r="AT14" i="15"/>
  <c r="AQ14" i="15"/>
  <c r="AK14" i="15"/>
  <c r="AK2" i="15" s="1"/>
  <c r="AH14" i="15"/>
  <c r="AE14" i="15"/>
  <c r="Y14" i="15"/>
  <c r="R14" i="15"/>
  <c r="T14" i="15" s="1"/>
  <c r="AU14" i="15" s="1"/>
  <c r="AV14" i="15" s="1"/>
  <c r="AX13" i="15"/>
  <c r="AT13" i="15"/>
  <c r="AQ13" i="15"/>
  <c r="AH13" i="15"/>
  <c r="AE13" i="15"/>
  <c r="Y13" i="15"/>
  <c r="T13" i="15"/>
  <c r="AU13" i="15" s="1"/>
  <c r="AV13" i="15" s="1"/>
  <c r="AY13" i="15" s="1"/>
  <c r="R13" i="15"/>
  <c r="G13" i="15"/>
  <c r="AT12" i="15"/>
  <c r="AQ12" i="15"/>
  <c r="AH12" i="15"/>
  <c r="AE12" i="15"/>
  <c r="AB12" i="15"/>
  <c r="AB2" i="15" s="1"/>
  <c r="Y12" i="15"/>
  <c r="T12" i="15"/>
  <c r="AU12" i="15" s="1"/>
  <c r="AV12" i="15" s="1"/>
  <c r="R12" i="15"/>
  <c r="AT11" i="15"/>
  <c r="AQ11" i="15"/>
  <c r="AH11" i="15"/>
  <c r="AE11" i="15"/>
  <c r="AB11" i="15"/>
  <c r="Y11" i="15"/>
  <c r="T11" i="15"/>
  <c r="AU11" i="15" s="1"/>
  <c r="AV11" i="15" s="1"/>
  <c r="R11" i="15"/>
  <c r="CC10" i="15"/>
  <c r="CE10" i="15" s="1"/>
  <c r="CG10" i="15" s="1"/>
  <c r="AT10" i="15"/>
  <c r="AQ10" i="15"/>
  <c r="AK10" i="15"/>
  <c r="AH10" i="15"/>
  <c r="AE10" i="15"/>
  <c r="Y10" i="15"/>
  <c r="T10" i="15"/>
  <c r="AU10" i="15" s="1"/>
  <c r="AV10" i="15" s="1"/>
  <c r="R10" i="15"/>
  <c r="CC9" i="15"/>
  <c r="CE9" i="15" s="1"/>
  <c r="CG9" i="15" s="1"/>
  <c r="AT9" i="15"/>
  <c r="AQ9" i="15"/>
  <c r="AK9" i="15"/>
  <c r="AH9" i="15"/>
  <c r="AE9" i="15"/>
  <c r="Y9" i="15"/>
  <c r="R9" i="15"/>
  <c r="T9" i="15" s="1"/>
  <c r="AU9" i="15" s="1"/>
  <c r="AV9" i="15" s="1"/>
  <c r="CC8" i="15"/>
  <c r="CE8" i="15" s="1"/>
  <c r="CG8" i="15" s="1"/>
  <c r="AT8" i="15"/>
  <c r="AQ8" i="15"/>
  <c r="AH8" i="15"/>
  <c r="AE8" i="15"/>
  <c r="Y8" i="15"/>
  <c r="T8" i="15"/>
  <c r="AU8" i="15" s="1"/>
  <c r="AV8" i="15" s="1"/>
  <c r="R8" i="15"/>
  <c r="CE7" i="15"/>
  <c r="CG7" i="15" s="1"/>
  <c r="CC7" i="15"/>
  <c r="AT7" i="15"/>
  <c r="AQ7" i="15"/>
  <c r="AN7" i="15"/>
  <c r="AH7" i="15"/>
  <c r="AE7" i="15"/>
  <c r="Y7" i="15"/>
  <c r="R7" i="15"/>
  <c r="T7" i="15" s="1"/>
  <c r="AU7" i="15" s="1"/>
  <c r="AV7" i="15" s="1"/>
  <c r="CC6" i="15"/>
  <c r="CE6" i="15" s="1"/>
  <c r="CG6" i="15" s="1"/>
  <c r="AT6" i="15"/>
  <c r="AT2" i="15" s="1"/>
  <c r="AQ6" i="15"/>
  <c r="AK6" i="15"/>
  <c r="AH6" i="15"/>
  <c r="AE6" i="15"/>
  <c r="Y6" i="15"/>
  <c r="R6" i="15"/>
  <c r="T6" i="15" s="1"/>
  <c r="AU6" i="15" s="1"/>
  <c r="AV6" i="15" s="1"/>
  <c r="AX5" i="15"/>
  <c r="AT5" i="15"/>
  <c r="AQ5" i="15"/>
  <c r="AH5" i="15"/>
  <c r="AE5" i="15"/>
  <c r="Y5" i="15"/>
  <c r="R5" i="15"/>
  <c r="T5" i="15" s="1"/>
  <c r="AU5" i="15" s="1"/>
  <c r="AV5" i="15" s="1"/>
  <c r="AX4" i="15"/>
  <c r="AU4" i="15"/>
  <c r="AV4" i="15" s="1"/>
  <c r="T4" i="15"/>
  <c r="AX2" i="15"/>
  <c r="AY3" i="15"/>
  <c r="AW2" i="15"/>
  <c r="AS2" i="15"/>
  <c r="AR2" i="15"/>
  <c r="AQ2" i="15"/>
  <c r="AP2" i="15"/>
  <c r="AO2" i="15"/>
  <c r="AN2" i="15"/>
  <c r="AM2" i="15"/>
  <c r="AL2" i="15"/>
  <c r="AJ2" i="15"/>
  <c r="AI2" i="15"/>
  <c r="AG2" i="15"/>
  <c r="AF2" i="15"/>
  <c r="AD2" i="15"/>
  <c r="AC2" i="15"/>
  <c r="AA2" i="15"/>
  <c r="Z2" i="15"/>
  <c r="X2" i="15"/>
  <c r="W2" i="15"/>
  <c r="V2" i="15"/>
  <c r="U2" i="15"/>
  <c r="S2" i="15"/>
  <c r="Q2" i="15"/>
  <c r="P2" i="15"/>
  <c r="O2" i="15"/>
  <c r="N2" i="15"/>
  <c r="M2" i="15"/>
  <c r="L2" i="15"/>
  <c r="K2" i="15"/>
  <c r="J2" i="15"/>
  <c r="I2" i="15"/>
  <c r="H2" i="15"/>
  <c r="G2" i="15"/>
  <c r="C34" i="14"/>
  <c r="G13" i="14"/>
  <c r="H11" i="14"/>
  <c r="H10" i="14"/>
  <c r="H9" i="14"/>
  <c r="H8" i="14"/>
  <c r="H7" i="14"/>
  <c r="H6" i="14"/>
  <c r="H5" i="14"/>
  <c r="H4" i="14"/>
  <c r="H3" i="14"/>
  <c r="C37" i="12"/>
  <c r="C46" i="12"/>
  <c r="C45" i="12"/>
  <c r="C43" i="12"/>
  <c r="C42" i="12"/>
  <c r="C40" i="12"/>
  <c r="C39" i="12"/>
  <c r="C36" i="12"/>
  <c r="C19" i="12"/>
  <c r="C15" i="12"/>
  <c r="C18" i="12"/>
  <c r="C16" i="12"/>
  <c r="C14" i="12"/>
  <c r="C12" i="12"/>
  <c r="C17" i="12"/>
  <c r="C13" i="12"/>
  <c r="AX17" i="13"/>
  <c r="AX13" i="13"/>
  <c r="AX2" i="13" s="1"/>
  <c r="C2" i="12" s="1"/>
  <c r="AX14" i="13"/>
  <c r="AT19" i="13"/>
  <c r="AR19" i="13"/>
  <c r="AQ19" i="13"/>
  <c r="AH19" i="13"/>
  <c r="AE19" i="13"/>
  <c r="Y19" i="13"/>
  <c r="R19" i="13"/>
  <c r="T19" i="13" s="1"/>
  <c r="AU19" i="13" s="1"/>
  <c r="AV19" i="13" s="1"/>
  <c r="AR18" i="13"/>
  <c r="AT18" i="13" s="1"/>
  <c r="AU18" i="13" s="1"/>
  <c r="AV18" i="13" s="1"/>
  <c r="AQ18" i="13"/>
  <c r="AH18" i="13"/>
  <c r="AE18" i="13"/>
  <c r="AB18" i="13"/>
  <c r="Y18" i="13"/>
  <c r="T18" i="13"/>
  <c r="R18" i="13"/>
  <c r="AT17" i="13"/>
  <c r="AQ17" i="13"/>
  <c r="AH17" i="13"/>
  <c r="AE17" i="13"/>
  <c r="Y17" i="13"/>
  <c r="R17" i="13"/>
  <c r="T17" i="13" s="1"/>
  <c r="AU17" i="13" s="1"/>
  <c r="AV17" i="13" s="1"/>
  <c r="AT16" i="13"/>
  <c r="AQ16" i="13"/>
  <c r="AH16" i="13"/>
  <c r="AE16" i="13"/>
  <c r="Y16" i="13"/>
  <c r="R16" i="13"/>
  <c r="T16" i="13" s="1"/>
  <c r="AU16" i="13" s="1"/>
  <c r="AV16" i="13" s="1"/>
  <c r="AT15" i="13"/>
  <c r="AQ15" i="13"/>
  <c r="AH15" i="13"/>
  <c r="AE15" i="13"/>
  <c r="Y15" i="13"/>
  <c r="AU15" i="13" s="1"/>
  <c r="AV15" i="13" s="1"/>
  <c r="T15" i="13"/>
  <c r="R15" i="13"/>
  <c r="G15" i="13"/>
  <c r="AT14" i="13"/>
  <c r="AQ14" i="13"/>
  <c r="AK14" i="13"/>
  <c r="AH14" i="13"/>
  <c r="AE14" i="13"/>
  <c r="Y14" i="13"/>
  <c r="R14" i="13"/>
  <c r="T14" i="13" s="1"/>
  <c r="AU14" i="13" s="1"/>
  <c r="AV14" i="13" s="1"/>
  <c r="AT13" i="13"/>
  <c r="AQ13" i="13"/>
  <c r="AH13" i="13"/>
  <c r="AE13" i="13"/>
  <c r="Y13" i="13"/>
  <c r="R13" i="13"/>
  <c r="T13" i="13" s="1"/>
  <c r="AU13" i="13" s="1"/>
  <c r="AV13" i="13" s="1"/>
  <c r="G13" i="13"/>
  <c r="G2" i="13" s="1"/>
  <c r="AT12" i="13"/>
  <c r="AQ12" i="13"/>
  <c r="AH12" i="13"/>
  <c r="AE12" i="13"/>
  <c r="AB12" i="13"/>
  <c r="Y12" i="13"/>
  <c r="R12" i="13"/>
  <c r="T12" i="13" s="1"/>
  <c r="AU12" i="13" s="1"/>
  <c r="AV12" i="13" s="1"/>
  <c r="AT11" i="13"/>
  <c r="AQ11" i="13"/>
  <c r="AH11" i="13"/>
  <c r="AE11" i="13"/>
  <c r="AB11" i="13"/>
  <c r="Y11" i="13"/>
  <c r="R11" i="13"/>
  <c r="T11" i="13" s="1"/>
  <c r="AU11" i="13" s="1"/>
  <c r="AV11" i="13" s="1"/>
  <c r="CC10" i="13"/>
  <c r="CE10" i="13" s="1"/>
  <c r="CG10" i="13" s="1"/>
  <c r="AT10" i="13"/>
  <c r="AQ10" i="13"/>
  <c r="AK10" i="13"/>
  <c r="AH10" i="13"/>
  <c r="AE10" i="13"/>
  <c r="Y10" i="13"/>
  <c r="R10" i="13"/>
  <c r="T10" i="13" s="1"/>
  <c r="AU10" i="13" s="1"/>
  <c r="AV10" i="13" s="1"/>
  <c r="CG9" i="13"/>
  <c r="CE9" i="13"/>
  <c r="CC9" i="13"/>
  <c r="AT9" i="13"/>
  <c r="AQ9" i="13"/>
  <c r="AK9" i="13"/>
  <c r="AK2" i="13" s="1"/>
  <c r="AH9" i="13"/>
  <c r="AE9" i="13"/>
  <c r="Y9" i="13"/>
  <c r="Y2" i="13" s="1"/>
  <c r="R9" i="13"/>
  <c r="T9" i="13" s="1"/>
  <c r="AU9" i="13" s="1"/>
  <c r="AV9" i="13" s="1"/>
  <c r="CE8" i="13"/>
  <c r="CG8" i="13" s="1"/>
  <c r="CC8" i="13"/>
  <c r="AT8" i="13"/>
  <c r="AQ8" i="13"/>
  <c r="AH8" i="13"/>
  <c r="AE8" i="13"/>
  <c r="Y8" i="13"/>
  <c r="R8" i="13"/>
  <c r="T8" i="13" s="1"/>
  <c r="AU8" i="13" s="1"/>
  <c r="AV8" i="13" s="1"/>
  <c r="CC7" i="13"/>
  <c r="CE7" i="13" s="1"/>
  <c r="CG7" i="13" s="1"/>
  <c r="AT7" i="13"/>
  <c r="AQ7" i="13"/>
  <c r="AN7" i="13"/>
  <c r="AH7" i="13"/>
  <c r="AE7" i="13"/>
  <c r="AE2" i="13" s="1"/>
  <c r="Y7" i="13"/>
  <c r="R7" i="13"/>
  <c r="R2" i="13" s="1"/>
  <c r="CG6" i="13"/>
  <c r="CE6" i="13"/>
  <c r="CC6" i="13"/>
  <c r="AT6" i="13"/>
  <c r="AT2" i="13" s="1"/>
  <c r="AQ6" i="13"/>
  <c r="AQ2" i="13" s="1"/>
  <c r="AK6" i="13"/>
  <c r="AH6" i="13"/>
  <c r="AE6" i="13"/>
  <c r="Y6" i="13"/>
  <c r="T6" i="13"/>
  <c r="AU6" i="13" s="1"/>
  <c r="AV6" i="13" s="1"/>
  <c r="R6" i="13"/>
  <c r="AT5" i="13"/>
  <c r="AQ5" i="13"/>
  <c r="AH5" i="13"/>
  <c r="AH2" i="13" s="1"/>
  <c r="AE5" i="13"/>
  <c r="Y5" i="13"/>
  <c r="T5" i="13"/>
  <c r="AU5" i="13" s="1"/>
  <c r="AV5" i="13" s="1"/>
  <c r="R5" i="13"/>
  <c r="AX4" i="13"/>
  <c r="T4" i="13"/>
  <c r="AU4" i="13" s="1"/>
  <c r="AV4" i="13" s="1"/>
  <c r="AY4" i="13" s="1"/>
  <c r="AB2" i="13"/>
  <c r="AN2" i="13"/>
  <c r="AY3" i="13"/>
  <c r="AW2" i="13"/>
  <c r="AS2" i="13"/>
  <c r="AR2" i="13"/>
  <c r="AP2" i="13"/>
  <c r="AO2" i="13"/>
  <c r="AM2" i="13"/>
  <c r="AL2" i="13"/>
  <c r="AJ2" i="13"/>
  <c r="AI2" i="13"/>
  <c r="AG2" i="13"/>
  <c r="AF2" i="13"/>
  <c r="AD2" i="13"/>
  <c r="AC2" i="13"/>
  <c r="AA2" i="13"/>
  <c r="Z2" i="13"/>
  <c r="X2" i="13"/>
  <c r="W2" i="13"/>
  <c r="V2" i="13"/>
  <c r="U2" i="13"/>
  <c r="S2" i="13"/>
  <c r="Q2" i="13"/>
  <c r="P2" i="13"/>
  <c r="O2" i="13"/>
  <c r="N2" i="13"/>
  <c r="M2" i="13"/>
  <c r="L2" i="13"/>
  <c r="K2" i="13"/>
  <c r="J2" i="13"/>
  <c r="I2" i="13"/>
  <c r="H2" i="13"/>
  <c r="C34" i="12"/>
  <c r="G13" i="12"/>
  <c r="H11" i="12"/>
  <c r="H10" i="12"/>
  <c r="H9" i="12"/>
  <c r="H8" i="12"/>
  <c r="H7" i="12"/>
  <c r="H6" i="12"/>
  <c r="H5" i="12"/>
  <c r="H4" i="12"/>
  <c r="H3" i="12"/>
  <c r="H13" i="12" s="1"/>
  <c r="C69" i="10"/>
  <c r="C65" i="10"/>
  <c r="C46" i="10"/>
  <c r="C45" i="10"/>
  <c r="C40" i="10"/>
  <c r="C35" i="10"/>
  <c r="C71" i="16" l="1"/>
  <c r="C86" i="16" s="1"/>
  <c r="AZ12" i="17"/>
  <c r="AY12" i="17"/>
  <c r="AY10" i="17"/>
  <c r="AZ10" i="17"/>
  <c r="AZ9" i="17"/>
  <c r="AY9" i="17"/>
  <c r="AY15" i="17"/>
  <c r="AZ15" i="17"/>
  <c r="AY5" i="17"/>
  <c r="AZ5" i="17"/>
  <c r="AZ11" i="17"/>
  <c r="AY11" i="17"/>
  <c r="AZ19" i="17"/>
  <c r="AY19" i="17"/>
  <c r="AZ13" i="17"/>
  <c r="AY13" i="17"/>
  <c r="AU18" i="17"/>
  <c r="AV18" i="17" s="1"/>
  <c r="AZ17" i="17"/>
  <c r="AY17" i="17"/>
  <c r="AZ4" i="17"/>
  <c r="AZ8" i="17"/>
  <c r="AZ16" i="17"/>
  <c r="AY16" i="17"/>
  <c r="AZ7" i="17"/>
  <c r="AY7" i="17"/>
  <c r="T6" i="17"/>
  <c r="AU6" i="17" s="1"/>
  <c r="AV6" i="17" s="1"/>
  <c r="AT2" i="17"/>
  <c r="AE2" i="17"/>
  <c r="C81" i="16"/>
  <c r="T2" i="17"/>
  <c r="C20" i="16" s="1"/>
  <c r="C72" i="16"/>
  <c r="AR2" i="17"/>
  <c r="AZ6" i="15"/>
  <c r="AY6" i="15"/>
  <c r="AZ7" i="15"/>
  <c r="AY7" i="15"/>
  <c r="AZ18" i="15"/>
  <c r="AY18" i="15"/>
  <c r="AZ4" i="15"/>
  <c r="AY4" i="15"/>
  <c r="AY9" i="15"/>
  <c r="AZ9" i="15"/>
  <c r="AZ16" i="15"/>
  <c r="AY16" i="15"/>
  <c r="AZ19" i="15"/>
  <c r="AY19" i="15"/>
  <c r="AY8" i="15"/>
  <c r="AZ8" i="15"/>
  <c r="AZ10" i="15"/>
  <c r="AY10" i="15"/>
  <c r="AZ13" i="15"/>
  <c r="AZ11" i="15"/>
  <c r="AY11" i="15"/>
  <c r="AZ15" i="15"/>
  <c r="AY15" i="15"/>
  <c r="AY5" i="15"/>
  <c r="AZ5" i="15"/>
  <c r="AZ12" i="15"/>
  <c r="AY12" i="15"/>
  <c r="AZ14" i="15"/>
  <c r="AY14" i="15"/>
  <c r="AZ17" i="15"/>
  <c r="R2" i="15"/>
  <c r="Y2" i="15"/>
  <c r="C71" i="14"/>
  <c r="C75" i="14"/>
  <c r="C81" i="14" s="1"/>
  <c r="C73" i="14"/>
  <c r="AE2" i="15"/>
  <c r="H13" i="14"/>
  <c r="AH2" i="15"/>
  <c r="C71" i="12"/>
  <c r="C72" i="12" s="1"/>
  <c r="AZ5" i="13"/>
  <c r="AY5" i="13"/>
  <c r="AZ16" i="13"/>
  <c r="AY16" i="13"/>
  <c r="AZ8" i="13"/>
  <c r="AY8" i="13"/>
  <c r="AY9" i="13"/>
  <c r="AZ9" i="13"/>
  <c r="AZ12" i="13"/>
  <c r="AY12" i="13"/>
  <c r="AZ13" i="13"/>
  <c r="AY13" i="13"/>
  <c r="AY10" i="13"/>
  <c r="AZ10" i="13"/>
  <c r="AZ11" i="13"/>
  <c r="AY11" i="13"/>
  <c r="AY15" i="13"/>
  <c r="AZ15" i="13"/>
  <c r="AZ18" i="13"/>
  <c r="AY18" i="13"/>
  <c r="AZ19" i="13"/>
  <c r="AY19" i="13"/>
  <c r="AZ14" i="13"/>
  <c r="AY14" i="13"/>
  <c r="AZ4" i="13"/>
  <c r="AZ17" i="13"/>
  <c r="AY17" i="13"/>
  <c r="AZ6" i="13"/>
  <c r="AY6" i="13"/>
  <c r="T7" i="13"/>
  <c r="AU7" i="13" s="1"/>
  <c r="AV7" i="13" s="1"/>
  <c r="C73" i="12"/>
  <c r="C75" i="12"/>
  <c r="C81" i="12" s="1"/>
  <c r="C13" i="10"/>
  <c r="C19" i="10"/>
  <c r="C18" i="10"/>
  <c r="C17" i="10"/>
  <c r="C16" i="10"/>
  <c r="C15" i="10"/>
  <c r="C14" i="10"/>
  <c r="C12" i="10"/>
  <c r="AR19" i="11"/>
  <c r="AT19" i="11" s="1"/>
  <c r="AQ19" i="11"/>
  <c r="AH19" i="11"/>
  <c r="AE19" i="11"/>
  <c r="Y19" i="11"/>
  <c r="R19" i="11"/>
  <c r="T19" i="11" s="1"/>
  <c r="AU19" i="11" s="1"/>
  <c r="AV19" i="11" s="1"/>
  <c r="AT18" i="11"/>
  <c r="AR18" i="11"/>
  <c r="AQ18" i="11"/>
  <c r="AH18" i="11"/>
  <c r="AE18" i="11"/>
  <c r="AB18" i="11"/>
  <c r="Y18" i="11"/>
  <c r="R18" i="11"/>
  <c r="T18" i="11" s="1"/>
  <c r="AU18" i="11" s="1"/>
  <c r="AV18" i="11" s="1"/>
  <c r="AT17" i="11"/>
  <c r="AQ17" i="11"/>
  <c r="AH17" i="11"/>
  <c r="AE17" i="11"/>
  <c r="Y17" i="11"/>
  <c r="R17" i="11"/>
  <c r="T17" i="11" s="1"/>
  <c r="AU17" i="11" s="1"/>
  <c r="AV17" i="11" s="1"/>
  <c r="AT16" i="11"/>
  <c r="AQ16" i="11"/>
  <c r="AH16" i="11"/>
  <c r="AE16" i="11"/>
  <c r="Y16" i="11"/>
  <c r="R16" i="11"/>
  <c r="T16" i="11" s="1"/>
  <c r="AU16" i="11" s="1"/>
  <c r="AV16" i="11" s="1"/>
  <c r="AT15" i="11"/>
  <c r="AQ15" i="11"/>
  <c r="AH15" i="11"/>
  <c r="AE15" i="11"/>
  <c r="Y15" i="11"/>
  <c r="T15" i="11"/>
  <c r="AU15" i="11" s="1"/>
  <c r="AV15" i="11" s="1"/>
  <c r="R15" i="11"/>
  <c r="G15" i="11"/>
  <c r="AX14" i="11"/>
  <c r="AT14" i="11"/>
  <c r="AQ14" i="11"/>
  <c r="AK14" i="11"/>
  <c r="AH14" i="11"/>
  <c r="AE14" i="11"/>
  <c r="Y14" i="11"/>
  <c r="R14" i="11"/>
  <c r="T14" i="11" s="1"/>
  <c r="AU14" i="11" s="1"/>
  <c r="AV14" i="11" s="1"/>
  <c r="AT13" i="11"/>
  <c r="AQ13" i="11"/>
  <c r="AH13" i="11"/>
  <c r="AE13" i="11"/>
  <c r="Y13" i="11"/>
  <c r="R13" i="11"/>
  <c r="T13" i="11" s="1"/>
  <c r="AU13" i="11" s="1"/>
  <c r="AV13" i="11" s="1"/>
  <c r="G13" i="11"/>
  <c r="AT12" i="11"/>
  <c r="AQ12" i="11"/>
  <c r="AH12" i="11"/>
  <c r="AE12" i="11"/>
  <c r="AB12" i="11"/>
  <c r="Y12" i="11"/>
  <c r="R12" i="11"/>
  <c r="T12" i="11" s="1"/>
  <c r="AU12" i="11" s="1"/>
  <c r="AV12" i="11" s="1"/>
  <c r="AT11" i="11"/>
  <c r="AQ11" i="11"/>
  <c r="AH11" i="11"/>
  <c r="AE11" i="11"/>
  <c r="AB11" i="11"/>
  <c r="AB2" i="11" s="1"/>
  <c r="Y11" i="11"/>
  <c r="R11" i="11"/>
  <c r="T11" i="11" s="1"/>
  <c r="AU11" i="11" s="1"/>
  <c r="AV11" i="11" s="1"/>
  <c r="CC10" i="11"/>
  <c r="CE10" i="11" s="1"/>
  <c r="CG10" i="11" s="1"/>
  <c r="AX10" i="11"/>
  <c r="AT10" i="11"/>
  <c r="AQ10" i="11"/>
  <c r="AK10" i="11"/>
  <c r="AH10" i="11"/>
  <c r="AE10" i="11"/>
  <c r="Y10" i="11"/>
  <c r="R10" i="11"/>
  <c r="T10" i="11" s="1"/>
  <c r="AU10" i="11" s="1"/>
  <c r="AV10" i="11" s="1"/>
  <c r="CC9" i="11"/>
  <c r="CE9" i="11" s="1"/>
  <c r="CG9" i="11" s="1"/>
  <c r="AT9" i="11"/>
  <c r="AQ9" i="11"/>
  <c r="AK9" i="11"/>
  <c r="AH9" i="11"/>
  <c r="AE9" i="11"/>
  <c r="Y9" i="11"/>
  <c r="R9" i="11"/>
  <c r="T9" i="11" s="1"/>
  <c r="AU9" i="11" s="1"/>
  <c r="AV9" i="11" s="1"/>
  <c r="CG8" i="11"/>
  <c r="CE8" i="11"/>
  <c r="CC8" i="11"/>
  <c r="AT8" i="11"/>
  <c r="AQ8" i="11"/>
  <c r="AH8" i="11"/>
  <c r="AE8" i="11"/>
  <c r="Y8" i="11"/>
  <c r="R8" i="11"/>
  <c r="T8" i="11" s="1"/>
  <c r="AU8" i="11" s="1"/>
  <c r="AV8" i="11" s="1"/>
  <c r="CC7" i="11"/>
  <c r="CE7" i="11" s="1"/>
  <c r="CG7" i="11" s="1"/>
  <c r="AT7" i="11"/>
  <c r="AQ7" i="11"/>
  <c r="AN7" i="11"/>
  <c r="AN2" i="11" s="1"/>
  <c r="AH7" i="11"/>
  <c r="AE7" i="11"/>
  <c r="Y7" i="11"/>
  <c r="R7" i="11"/>
  <c r="T7" i="11" s="1"/>
  <c r="AU7" i="11" s="1"/>
  <c r="AV7" i="11" s="1"/>
  <c r="CC6" i="11"/>
  <c r="CE6" i="11" s="1"/>
  <c r="CG6" i="11" s="1"/>
  <c r="AT6" i="11"/>
  <c r="AQ6" i="11"/>
  <c r="AQ2" i="11" s="1"/>
  <c r="AK6" i="11"/>
  <c r="AH6" i="11"/>
  <c r="AE6" i="11"/>
  <c r="Y6" i="11"/>
  <c r="R6" i="11"/>
  <c r="R2" i="11" s="1"/>
  <c r="AT5" i="11"/>
  <c r="AQ5" i="11"/>
  <c r="AH5" i="11"/>
  <c r="AE5" i="11"/>
  <c r="AE2" i="11" s="1"/>
  <c r="Y5" i="11"/>
  <c r="Y2" i="11" s="1"/>
  <c r="T5" i="11"/>
  <c r="AU5" i="11" s="1"/>
  <c r="AV5" i="11" s="1"/>
  <c r="R5" i="11"/>
  <c r="AX4" i="11"/>
  <c r="AZ4" i="11" s="1"/>
  <c r="T4" i="11"/>
  <c r="AU4" i="11" s="1"/>
  <c r="AV4" i="11" s="1"/>
  <c r="AY4" i="11" s="1"/>
  <c r="AH2" i="11"/>
  <c r="AK2" i="11"/>
  <c r="AY3" i="11"/>
  <c r="AW2" i="11"/>
  <c r="AS2" i="11"/>
  <c r="AR2" i="11"/>
  <c r="AP2" i="11"/>
  <c r="AO2" i="11"/>
  <c r="AM2" i="11"/>
  <c r="AL2" i="11"/>
  <c r="AJ2" i="11"/>
  <c r="AI2" i="11"/>
  <c r="AG2" i="11"/>
  <c r="AF2" i="11"/>
  <c r="AD2" i="11"/>
  <c r="AC2" i="11"/>
  <c r="AA2" i="11"/>
  <c r="Z2" i="11"/>
  <c r="X2" i="11"/>
  <c r="W2" i="11"/>
  <c r="V2" i="11"/>
  <c r="U2" i="11"/>
  <c r="S2" i="11"/>
  <c r="Q2" i="11"/>
  <c r="P2" i="11"/>
  <c r="O2" i="11"/>
  <c r="N2" i="11"/>
  <c r="M2" i="11"/>
  <c r="L2" i="11"/>
  <c r="K2" i="11"/>
  <c r="J2" i="11"/>
  <c r="I2" i="11"/>
  <c r="H2" i="11"/>
  <c r="G2" i="11"/>
  <c r="C43" i="10"/>
  <c r="C42" i="10"/>
  <c r="C38" i="10"/>
  <c r="C37" i="10"/>
  <c r="C36" i="10"/>
  <c r="C34" i="10"/>
  <c r="G13" i="10"/>
  <c r="H11" i="10"/>
  <c r="H10" i="10"/>
  <c r="H9" i="10"/>
  <c r="H8" i="10"/>
  <c r="H7" i="10"/>
  <c r="H6" i="10"/>
  <c r="H5" i="10"/>
  <c r="H4" i="10"/>
  <c r="H3" i="10"/>
  <c r="C46" i="8"/>
  <c r="C45" i="8"/>
  <c r="C43" i="8"/>
  <c r="C42" i="8"/>
  <c r="C40" i="8"/>
  <c r="C39" i="8"/>
  <c r="C38" i="8"/>
  <c r="C37" i="8"/>
  <c r="C36" i="8"/>
  <c r="C35" i="8"/>
  <c r="C19" i="8"/>
  <c r="C18" i="8"/>
  <c r="C17" i="8"/>
  <c r="C16" i="8"/>
  <c r="C15" i="8"/>
  <c r="C14" i="8"/>
  <c r="C12" i="8"/>
  <c r="C13" i="8"/>
  <c r="AX2" i="9"/>
  <c r="AX10" i="9"/>
  <c r="AR19" i="9"/>
  <c r="AT19" i="9" s="1"/>
  <c r="AQ19" i="9"/>
  <c r="AH19" i="9"/>
  <c r="AE19" i="9"/>
  <c r="Y19" i="9"/>
  <c r="R19" i="9"/>
  <c r="T19" i="9" s="1"/>
  <c r="AU19" i="9" s="1"/>
  <c r="AV19" i="9" s="1"/>
  <c r="AR18" i="9"/>
  <c r="AT18" i="9" s="1"/>
  <c r="AT2" i="9" s="1"/>
  <c r="AQ18" i="9"/>
  <c r="AH18" i="9"/>
  <c r="AE18" i="9"/>
  <c r="AB18" i="9"/>
  <c r="Y18" i="9"/>
  <c r="R18" i="9"/>
  <c r="T18" i="9" s="1"/>
  <c r="AU18" i="9" s="1"/>
  <c r="AV18" i="9" s="1"/>
  <c r="AT17" i="9"/>
  <c r="AQ17" i="9"/>
  <c r="AH17" i="9"/>
  <c r="AE17" i="9"/>
  <c r="Y17" i="9"/>
  <c r="R17" i="9"/>
  <c r="T17" i="9" s="1"/>
  <c r="AU17" i="9" s="1"/>
  <c r="AV17" i="9" s="1"/>
  <c r="AT16" i="9"/>
  <c r="AQ16" i="9"/>
  <c r="AH16" i="9"/>
  <c r="AE16" i="9"/>
  <c r="Y16" i="9"/>
  <c r="R16" i="9"/>
  <c r="T16" i="9" s="1"/>
  <c r="AU16" i="9" s="1"/>
  <c r="AV16" i="9" s="1"/>
  <c r="AT15" i="9"/>
  <c r="AQ15" i="9"/>
  <c r="AH15" i="9"/>
  <c r="AE15" i="9"/>
  <c r="Y15" i="9"/>
  <c r="R15" i="9"/>
  <c r="T15" i="9" s="1"/>
  <c r="AU15" i="9" s="1"/>
  <c r="AV15" i="9" s="1"/>
  <c r="G15" i="9"/>
  <c r="AX14" i="9"/>
  <c r="AT14" i="9"/>
  <c r="AQ14" i="9"/>
  <c r="AK14" i="9"/>
  <c r="AH14" i="9"/>
  <c r="AE14" i="9"/>
  <c r="Y14" i="9"/>
  <c r="R14" i="9"/>
  <c r="T14" i="9" s="1"/>
  <c r="AU14" i="9" s="1"/>
  <c r="AV14" i="9" s="1"/>
  <c r="AY14" i="9" s="1"/>
  <c r="AT13" i="9"/>
  <c r="AQ13" i="9"/>
  <c r="AH13" i="9"/>
  <c r="AE13" i="9"/>
  <c r="Y13" i="9"/>
  <c r="R13" i="9"/>
  <c r="T13" i="9" s="1"/>
  <c r="AU13" i="9" s="1"/>
  <c r="AV13" i="9" s="1"/>
  <c r="G13" i="9"/>
  <c r="AT12" i="9"/>
  <c r="AQ12" i="9"/>
  <c r="AH12" i="9"/>
  <c r="AE12" i="9"/>
  <c r="AB12" i="9"/>
  <c r="Y12" i="9"/>
  <c r="R12" i="9"/>
  <c r="T12" i="9" s="1"/>
  <c r="AU12" i="9" s="1"/>
  <c r="AV12" i="9" s="1"/>
  <c r="AT11" i="9"/>
  <c r="AQ11" i="9"/>
  <c r="AH11" i="9"/>
  <c r="AE11" i="9"/>
  <c r="AB11" i="9"/>
  <c r="Y11" i="9"/>
  <c r="R11" i="9"/>
  <c r="T11" i="9" s="1"/>
  <c r="AU11" i="9" s="1"/>
  <c r="AV11" i="9" s="1"/>
  <c r="CC10" i="9"/>
  <c r="CE10" i="9" s="1"/>
  <c r="CG10" i="9" s="1"/>
  <c r="AT10" i="9"/>
  <c r="AQ10" i="9"/>
  <c r="AH10" i="9"/>
  <c r="AE10" i="9"/>
  <c r="Y10" i="9"/>
  <c r="R10" i="9"/>
  <c r="T10" i="9" s="1"/>
  <c r="AU10" i="9" s="1"/>
  <c r="AV10" i="9" s="1"/>
  <c r="CC9" i="9"/>
  <c r="CE9" i="9" s="1"/>
  <c r="CG9" i="9" s="1"/>
  <c r="AT9" i="9"/>
  <c r="AQ9" i="9"/>
  <c r="AK9" i="9"/>
  <c r="AH9" i="9"/>
  <c r="AE9" i="9"/>
  <c r="Y9" i="9"/>
  <c r="R9" i="9"/>
  <c r="T9" i="9" s="1"/>
  <c r="AU9" i="9" s="1"/>
  <c r="AV9" i="9" s="1"/>
  <c r="CC8" i="9"/>
  <c r="CE8" i="9" s="1"/>
  <c r="CG8" i="9" s="1"/>
  <c r="AT8" i="9"/>
  <c r="AQ8" i="9"/>
  <c r="AH8" i="9"/>
  <c r="AE8" i="9"/>
  <c r="Y8" i="9"/>
  <c r="R8" i="9"/>
  <c r="T8" i="9" s="1"/>
  <c r="AU8" i="9" s="1"/>
  <c r="AV8" i="9" s="1"/>
  <c r="CC7" i="9"/>
  <c r="CE7" i="9" s="1"/>
  <c r="CG7" i="9" s="1"/>
  <c r="AT7" i="9"/>
  <c r="AQ7" i="9"/>
  <c r="AN7" i="9"/>
  <c r="AH7" i="9"/>
  <c r="AE7" i="9"/>
  <c r="Y7" i="9"/>
  <c r="R7" i="9"/>
  <c r="T7" i="9" s="1"/>
  <c r="AU7" i="9" s="1"/>
  <c r="AV7" i="9" s="1"/>
  <c r="CC6" i="9"/>
  <c r="CE6" i="9" s="1"/>
  <c r="CG6" i="9" s="1"/>
  <c r="AT6" i="9"/>
  <c r="AQ6" i="9"/>
  <c r="AK6" i="9"/>
  <c r="AH6" i="9"/>
  <c r="AE6" i="9"/>
  <c r="Y6" i="9"/>
  <c r="R6" i="9"/>
  <c r="T6" i="9" s="1"/>
  <c r="AU6" i="9" s="1"/>
  <c r="AV6" i="9" s="1"/>
  <c r="AT5" i="9"/>
  <c r="AQ5" i="9"/>
  <c r="AH5" i="9"/>
  <c r="AE5" i="9"/>
  <c r="Y5" i="9"/>
  <c r="R5" i="9"/>
  <c r="T5" i="9" s="1"/>
  <c r="AU5" i="9" s="1"/>
  <c r="AV5" i="9" s="1"/>
  <c r="AX4" i="9"/>
  <c r="T4" i="9"/>
  <c r="AU4" i="9" s="1"/>
  <c r="AV4" i="9" s="1"/>
  <c r="AY4" i="9" s="1"/>
  <c r="AY3" i="9"/>
  <c r="AW2" i="9"/>
  <c r="AS2" i="9"/>
  <c r="AR2" i="9"/>
  <c r="AQ2" i="9"/>
  <c r="AP2" i="9"/>
  <c r="AO2" i="9"/>
  <c r="AN2" i="9"/>
  <c r="AM2" i="9"/>
  <c r="AL2" i="9"/>
  <c r="AK2" i="9"/>
  <c r="AJ2" i="9"/>
  <c r="AI2" i="9"/>
  <c r="AH2" i="9"/>
  <c r="AG2" i="9"/>
  <c r="AF2" i="9"/>
  <c r="AE2" i="9"/>
  <c r="AD2" i="9"/>
  <c r="AC2" i="9"/>
  <c r="AB2" i="9"/>
  <c r="AA2" i="9"/>
  <c r="Z2" i="9"/>
  <c r="Y2" i="9"/>
  <c r="X2" i="9"/>
  <c r="W2" i="9"/>
  <c r="V2" i="9"/>
  <c r="U2" i="9"/>
  <c r="S2" i="9"/>
  <c r="R2" i="9"/>
  <c r="Q2" i="9"/>
  <c r="P2" i="9"/>
  <c r="O2" i="9"/>
  <c r="N2" i="9"/>
  <c r="M2" i="9"/>
  <c r="L2" i="9"/>
  <c r="K2" i="9"/>
  <c r="J2" i="9"/>
  <c r="I2" i="9"/>
  <c r="H2" i="9"/>
  <c r="G2" i="9"/>
  <c r="C69" i="8"/>
  <c r="C34" i="8"/>
  <c r="G13" i="8"/>
  <c r="H11" i="8"/>
  <c r="H10" i="8"/>
  <c r="H9" i="8"/>
  <c r="H8" i="8"/>
  <c r="H7" i="8"/>
  <c r="H6" i="8"/>
  <c r="H5" i="8"/>
  <c r="H4" i="8"/>
  <c r="H3" i="8"/>
  <c r="C2" i="8"/>
  <c r="C69" i="6"/>
  <c r="C34" i="6"/>
  <c r="C2" i="6"/>
  <c r="C46" i="6"/>
  <c r="C45" i="6"/>
  <c r="C43" i="6"/>
  <c r="C42" i="6"/>
  <c r="C40" i="6"/>
  <c r="C39" i="6"/>
  <c r="C38" i="6"/>
  <c r="C37" i="6"/>
  <c r="C36" i="6"/>
  <c r="C35" i="6"/>
  <c r="C13" i="6"/>
  <c r="C19" i="6"/>
  <c r="C18" i="6"/>
  <c r="C17" i="6"/>
  <c r="C16" i="6"/>
  <c r="C15" i="6"/>
  <c r="C14" i="6"/>
  <c r="C12" i="6"/>
  <c r="AT19" i="7"/>
  <c r="AR19" i="7"/>
  <c r="AQ19" i="7"/>
  <c r="AH19" i="7"/>
  <c r="AE19" i="7"/>
  <c r="Y19" i="7"/>
  <c r="R19" i="7"/>
  <c r="T19" i="7" s="1"/>
  <c r="AU19" i="7" s="1"/>
  <c r="AV19" i="7" s="1"/>
  <c r="AR18" i="7"/>
  <c r="AT18" i="7" s="1"/>
  <c r="AU18" i="7" s="1"/>
  <c r="AV18" i="7" s="1"/>
  <c r="AQ18" i="7"/>
  <c r="AH18" i="7"/>
  <c r="AE18" i="7"/>
  <c r="AB18" i="7"/>
  <c r="Y18" i="7"/>
  <c r="T18" i="7"/>
  <c r="R18" i="7"/>
  <c r="AT17" i="7"/>
  <c r="AQ17" i="7"/>
  <c r="AH17" i="7"/>
  <c r="AE17" i="7"/>
  <c r="Y17" i="7"/>
  <c r="R17" i="7"/>
  <c r="T17" i="7" s="1"/>
  <c r="AU17" i="7" s="1"/>
  <c r="AV17" i="7" s="1"/>
  <c r="AT16" i="7"/>
  <c r="AQ16" i="7"/>
  <c r="AH16" i="7"/>
  <c r="AE16" i="7"/>
  <c r="Y16" i="7"/>
  <c r="R16" i="7"/>
  <c r="T16" i="7" s="1"/>
  <c r="AU16" i="7" s="1"/>
  <c r="AV16" i="7" s="1"/>
  <c r="AT15" i="7"/>
  <c r="AQ15" i="7"/>
  <c r="AH15" i="7"/>
  <c r="AE15" i="7"/>
  <c r="Y15" i="7"/>
  <c r="R15" i="7"/>
  <c r="T15" i="7" s="1"/>
  <c r="AU15" i="7" s="1"/>
  <c r="AV15" i="7" s="1"/>
  <c r="G15" i="7"/>
  <c r="AX14" i="7"/>
  <c r="AT14" i="7"/>
  <c r="AQ14" i="7"/>
  <c r="AK14" i="7"/>
  <c r="AH14" i="7"/>
  <c r="AE14" i="7"/>
  <c r="Y14" i="7"/>
  <c r="R14" i="7"/>
  <c r="T14" i="7" s="1"/>
  <c r="AU14" i="7" s="1"/>
  <c r="AV14" i="7" s="1"/>
  <c r="AX13" i="7"/>
  <c r="AZ13" i="7" s="1"/>
  <c r="AT13" i="7"/>
  <c r="AQ13" i="7"/>
  <c r="AH13" i="7"/>
  <c r="AE13" i="7"/>
  <c r="Y13" i="7"/>
  <c r="R13" i="7"/>
  <c r="T13" i="7" s="1"/>
  <c r="AU13" i="7" s="1"/>
  <c r="AV13" i="7" s="1"/>
  <c r="AY13" i="7" s="1"/>
  <c r="G13" i="7"/>
  <c r="AT12" i="7"/>
  <c r="AQ12" i="7"/>
  <c r="AH12" i="7"/>
  <c r="AE12" i="7"/>
  <c r="AB12" i="7"/>
  <c r="Y12" i="7"/>
  <c r="T12" i="7"/>
  <c r="AU12" i="7" s="1"/>
  <c r="AV12" i="7" s="1"/>
  <c r="R12" i="7"/>
  <c r="AT11" i="7"/>
  <c r="AQ11" i="7"/>
  <c r="AH11" i="7"/>
  <c r="AE11" i="7"/>
  <c r="AB11" i="7"/>
  <c r="Y11" i="7"/>
  <c r="R11" i="7"/>
  <c r="T11" i="7" s="1"/>
  <c r="AU11" i="7" s="1"/>
  <c r="AV11" i="7" s="1"/>
  <c r="CC10" i="7"/>
  <c r="CE10" i="7" s="1"/>
  <c r="CG10" i="7" s="1"/>
  <c r="AT10" i="7"/>
  <c r="AQ10" i="7"/>
  <c r="AH10" i="7"/>
  <c r="AE10" i="7"/>
  <c r="Y10" i="7"/>
  <c r="T10" i="7"/>
  <c r="AU10" i="7" s="1"/>
  <c r="AV10" i="7" s="1"/>
  <c r="R10" i="7"/>
  <c r="CE9" i="7"/>
  <c r="CG9" i="7" s="1"/>
  <c r="CC9" i="7"/>
  <c r="AT9" i="7"/>
  <c r="AQ9" i="7"/>
  <c r="AK9" i="7"/>
  <c r="AK2" i="7" s="1"/>
  <c r="AH9" i="7"/>
  <c r="AE9" i="7"/>
  <c r="Y9" i="7"/>
  <c r="R9" i="7"/>
  <c r="T9" i="7" s="1"/>
  <c r="AU9" i="7" s="1"/>
  <c r="AV9" i="7" s="1"/>
  <c r="CC8" i="7"/>
  <c r="CE8" i="7" s="1"/>
  <c r="CG8" i="7" s="1"/>
  <c r="AT8" i="7"/>
  <c r="AQ8" i="7"/>
  <c r="AH8" i="7"/>
  <c r="AE8" i="7"/>
  <c r="Y8" i="7"/>
  <c r="R8" i="7"/>
  <c r="T8" i="7" s="1"/>
  <c r="AU8" i="7" s="1"/>
  <c r="AV8" i="7" s="1"/>
  <c r="CE7" i="7"/>
  <c r="CG7" i="7" s="1"/>
  <c r="CC7" i="7"/>
  <c r="AT7" i="7"/>
  <c r="AQ7" i="7"/>
  <c r="AN7" i="7"/>
  <c r="AH7" i="7"/>
  <c r="AE7" i="7"/>
  <c r="Y7" i="7"/>
  <c r="R7" i="7"/>
  <c r="T7" i="7" s="1"/>
  <c r="AU7" i="7" s="1"/>
  <c r="AV7" i="7" s="1"/>
  <c r="CC6" i="7"/>
  <c r="CE6" i="7" s="1"/>
  <c r="CG6" i="7" s="1"/>
  <c r="AT6" i="7"/>
  <c r="AQ6" i="7"/>
  <c r="AQ2" i="7" s="1"/>
  <c r="AK6" i="7"/>
  <c r="AH6" i="7"/>
  <c r="AH2" i="7" s="1"/>
  <c r="AE6" i="7"/>
  <c r="Y6" i="7"/>
  <c r="T6" i="7"/>
  <c r="AU6" i="7" s="1"/>
  <c r="AV6" i="7" s="1"/>
  <c r="R6" i="7"/>
  <c r="AX5" i="7"/>
  <c r="AT5" i="7"/>
  <c r="AQ5" i="7"/>
  <c r="AH5" i="7"/>
  <c r="AE5" i="7"/>
  <c r="AE2" i="7" s="1"/>
  <c r="Y5" i="7"/>
  <c r="Y2" i="7" s="1"/>
  <c r="R5" i="7"/>
  <c r="T5" i="7" s="1"/>
  <c r="AU5" i="7" s="1"/>
  <c r="AV5" i="7" s="1"/>
  <c r="AX2" i="7"/>
  <c r="T4" i="7"/>
  <c r="AU4" i="7" s="1"/>
  <c r="AY3" i="7"/>
  <c r="AW2" i="7"/>
  <c r="AS2" i="7"/>
  <c r="AP2" i="7"/>
  <c r="AO2" i="7"/>
  <c r="AN2" i="7"/>
  <c r="AM2" i="7"/>
  <c r="AL2" i="7"/>
  <c r="AJ2" i="7"/>
  <c r="AI2" i="7"/>
  <c r="AG2" i="7"/>
  <c r="AF2" i="7"/>
  <c r="AD2" i="7"/>
  <c r="AC2" i="7"/>
  <c r="AB2" i="7"/>
  <c r="AA2" i="7"/>
  <c r="Z2" i="7"/>
  <c r="X2" i="7"/>
  <c r="W2" i="7"/>
  <c r="V2" i="7"/>
  <c r="U2" i="7"/>
  <c r="S2" i="7"/>
  <c r="Q2" i="7"/>
  <c r="P2" i="7"/>
  <c r="O2" i="7"/>
  <c r="N2" i="7"/>
  <c r="M2" i="7"/>
  <c r="L2" i="7"/>
  <c r="K2" i="7"/>
  <c r="J2" i="7"/>
  <c r="I2" i="7"/>
  <c r="H2" i="7"/>
  <c r="G2" i="7"/>
  <c r="C73" i="6"/>
  <c r="G13" i="6"/>
  <c r="H11" i="6"/>
  <c r="H10" i="6"/>
  <c r="H9" i="6"/>
  <c r="H8" i="6"/>
  <c r="H7" i="6"/>
  <c r="H6" i="6"/>
  <c r="H5" i="6"/>
  <c r="H4" i="6"/>
  <c r="H3" i="6"/>
  <c r="H13" i="6" s="1"/>
  <c r="C39" i="4"/>
  <c r="C46" i="4"/>
  <c r="C45" i="4"/>
  <c r="C43" i="4"/>
  <c r="C42" i="4"/>
  <c r="C40" i="4"/>
  <c r="C38" i="4"/>
  <c r="C37" i="4"/>
  <c r="C36" i="4"/>
  <c r="C35" i="4"/>
  <c r="C13" i="4"/>
  <c r="C20" i="4" s="1"/>
  <c r="C19" i="4"/>
  <c r="C18" i="4"/>
  <c r="C17" i="4"/>
  <c r="C16" i="4"/>
  <c r="C15" i="4"/>
  <c r="C14" i="4"/>
  <c r="C12" i="4"/>
  <c r="AU2" i="5"/>
  <c r="AW2" i="5"/>
  <c r="C2" i="4"/>
  <c r="AV2" i="5"/>
  <c r="H2" i="5"/>
  <c r="I2" i="5"/>
  <c r="J2" i="5"/>
  <c r="K2" i="5"/>
  <c r="L2" i="5"/>
  <c r="M2" i="5"/>
  <c r="N2" i="5"/>
  <c r="O2" i="5"/>
  <c r="P2" i="5"/>
  <c r="Q2" i="5"/>
  <c r="R2" i="5"/>
  <c r="S2" i="5"/>
  <c r="T2" i="5"/>
  <c r="U2" i="5"/>
  <c r="V2" i="5"/>
  <c r="W2" i="5"/>
  <c r="X2" i="5"/>
  <c r="Y2" i="5"/>
  <c r="Z2" i="5"/>
  <c r="AA2" i="5"/>
  <c r="AB2" i="5"/>
  <c r="AC2" i="5"/>
  <c r="AD2" i="5"/>
  <c r="AE2" i="5"/>
  <c r="AF2" i="5"/>
  <c r="AG2" i="5"/>
  <c r="AH2" i="5"/>
  <c r="AI2" i="5"/>
  <c r="AJ2" i="5"/>
  <c r="AK2" i="5"/>
  <c r="AL2" i="5"/>
  <c r="AM2" i="5"/>
  <c r="AN2" i="5"/>
  <c r="AO2" i="5"/>
  <c r="AP2" i="5"/>
  <c r="AQ2" i="5"/>
  <c r="AR2" i="5"/>
  <c r="AS2" i="5"/>
  <c r="AT2" i="5"/>
  <c r="AX2" i="5"/>
  <c r="G2" i="5"/>
  <c r="AR19" i="5"/>
  <c r="AT19" i="5" s="1"/>
  <c r="AQ19" i="5"/>
  <c r="AH19" i="5"/>
  <c r="AE19" i="5"/>
  <c r="Y19" i="5"/>
  <c r="T19" i="5"/>
  <c r="AU19" i="5" s="1"/>
  <c r="AV19" i="5" s="1"/>
  <c r="R19" i="5"/>
  <c r="AT18" i="5"/>
  <c r="AR18" i="5"/>
  <c r="AQ18" i="5"/>
  <c r="AH18" i="5"/>
  <c r="AE18" i="5"/>
  <c r="AB18" i="5"/>
  <c r="Y18" i="5"/>
  <c r="R18" i="5"/>
  <c r="T18" i="5" s="1"/>
  <c r="AU18" i="5" s="1"/>
  <c r="AV18" i="5" s="1"/>
  <c r="AT17" i="5"/>
  <c r="AQ17" i="5"/>
  <c r="AH17" i="5"/>
  <c r="AE17" i="5"/>
  <c r="Y17" i="5"/>
  <c r="T17" i="5"/>
  <c r="AU17" i="5" s="1"/>
  <c r="AV17" i="5" s="1"/>
  <c r="R17" i="5"/>
  <c r="AT16" i="5"/>
  <c r="AQ16" i="5"/>
  <c r="AH16" i="5"/>
  <c r="AE16" i="5"/>
  <c r="Y16" i="5"/>
  <c r="R16" i="5"/>
  <c r="T16" i="5" s="1"/>
  <c r="AU16" i="5" s="1"/>
  <c r="AV16" i="5" s="1"/>
  <c r="AT15" i="5"/>
  <c r="AQ15" i="5"/>
  <c r="AH15" i="5"/>
  <c r="AE15" i="5"/>
  <c r="Y15" i="5"/>
  <c r="T15" i="5"/>
  <c r="AU15" i="5" s="1"/>
  <c r="AV15" i="5" s="1"/>
  <c r="R15" i="5"/>
  <c r="G15" i="5"/>
  <c r="AX14" i="5"/>
  <c r="AZ14" i="5" s="1"/>
  <c r="AT14" i="5"/>
  <c r="AQ14" i="5"/>
  <c r="AK14" i="5"/>
  <c r="AH14" i="5"/>
  <c r="AE14" i="5"/>
  <c r="Y14" i="5"/>
  <c r="R14" i="5"/>
  <c r="T14" i="5" s="1"/>
  <c r="AU14" i="5" s="1"/>
  <c r="AV14" i="5" s="1"/>
  <c r="AY14" i="5" s="1"/>
  <c r="AX13" i="5"/>
  <c r="AT13" i="5"/>
  <c r="AQ13" i="5"/>
  <c r="AH13" i="5"/>
  <c r="AE13" i="5"/>
  <c r="Y13" i="5"/>
  <c r="T13" i="5"/>
  <c r="AU13" i="5" s="1"/>
  <c r="AV13" i="5" s="1"/>
  <c r="R13" i="5"/>
  <c r="G13" i="5"/>
  <c r="AT12" i="5"/>
  <c r="AQ12" i="5"/>
  <c r="AH12" i="5"/>
  <c r="AE12" i="5"/>
  <c r="AB12" i="5"/>
  <c r="Y12" i="5"/>
  <c r="R12" i="5"/>
  <c r="T12" i="5" s="1"/>
  <c r="AU12" i="5" s="1"/>
  <c r="AV12" i="5" s="1"/>
  <c r="AT11" i="5"/>
  <c r="AQ11" i="5"/>
  <c r="AH11" i="5"/>
  <c r="AE11" i="5"/>
  <c r="AB11" i="5"/>
  <c r="Y11" i="5"/>
  <c r="T11" i="5"/>
  <c r="AU11" i="5" s="1"/>
  <c r="AV11" i="5" s="1"/>
  <c r="R11" i="5"/>
  <c r="CC10" i="5"/>
  <c r="CE10" i="5" s="1"/>
  <c r="CG10" i="5" s="1"/>
  <c r="AT10" i="5"/>
  <c r="AQ10" i="5"/>
  <c r="AH10" i="5"/>
  <c r="AE10" i="5"/>
  <c r="Y10" i="5"/>
  <c r="R10" i="5"/>
  <c r="T10" i="5" s="1"/>
  <c r="AU10" i="5" s="1"/>
  <c r="AV10" i="5" s="1"/>
  <c r="CC9" i="5"/>
  <c r="CE9" i="5" s="1"/>
  <c r="CG9" i="5" s="1"/>
  <c r="AT9" i="5"/>
  <c r="AQ9" i="5"/>
  <c r="AK9" i="5"/>
  <c r="AH9" i="5"/>
  <c r="AE9" i="5"/>
  <c r="Y9" i="5"/>
  <c r="T9" i="5"/>
  <c r="AU9" i="5" s="1"/>
  <c r="AV9" i="5" s="1"/>
  <c r="R9" i="5"/>
  <c r="CE8" i="5"/>
  <c r="CG8" i="5" s="1"/>
  <c r="CC8" i="5"/>
  <c r="AT8" i="5"/>
  <c r="AQ8" i="5"/>
  <c r="AH8" i="5"/>
  <c r="AE8" i="5"/>
  <c r="Y8" i="5"/>
  <c r="R8" i="5"/>
  <c r="T8" i="5" s="1"/>
  <c r="AU8" i="5" s="1"/>
  <c r="AV8" i="5" s="1"/>
  <c r="CC7" i="5"/>
  <c r="CE7" i="5" s="1"/>
  <c r="CG7" i="5" s="1"/>
  <c r="AT7" i="5"/>
  <c r="AQ7" i="5"/>
  <c r="AN7" i="5"/>
  <c r="AH7" i="5"/>
  <c r="AE7" i="5"/>
  <c r="Y7" i="5"/>
  <c r="R7" i="5"/>
  <c r="T7" i="5" s="1"/>
  <c r="AU7" i="5" s="1"/>
  <c r="AV7" i="5" s="1"/>
  <c r="CE6" i="5"/>
  <c r="CG6" i="5" s="1"/>
  <c r="CC6" i="5"/>
  <c r="AX6" i="5"/>
  <c r="AT6" i="5"/>
  <c r="AQ6" i="5"/>
  <c r="AK6" i="5"/>
  <c r="AH6" i="5"/>
  <c r="AE6" i="5"/>
  <c r="Y6" i="5"/>
  <c r="R6" i="5"/>
  <c r="T6" i="5" s="1"/>
  <c r="AU6" i="5" s="1"/>
  <c r="AV6" i="5" s="1"/>
  <c r="AT5" i="5"/>
  <c r="AQ5" i="5"/>
  <c r="AH5" i="5"/>
  <c r="AE5" i="5"/>
  <c r="Y5" i="5"/>
  <c r="T5" i="5"/>
  <c r="AU5" i="5" s="1"/>
  <c r="AV5" i="5" s="1"/>
  <c r="R5" i="5"/>
  <c r="AX4" i="5"/>
  <c r="T4" i="5"/>
  <c r="AU4" i="5" s="1"/>
  <c r="AV4" i="5" s="1"/>
  <c r="H5" i="4"/>
  <c r="H6" i="4"/>
  <c r="H7" i="4"/>
  <c r="H8" i="4"/>
  <c r="H9" i="4"/>
  <c r="H10" i="4"/>
  <c r="H11" i="4"/>
  <c r="AY3" i="5"/>
  <c r="C34" i="4"/>
  <c r="C73" i="4" s="1"/>
  <c r="G13" i="4"/>
  <c r="H4" i="4"/>
  <c r="H3" i="4"/>
  <c r="C84" i="16" l="1"/>
  <c r="C85" i="16"/>
  <c r="C73" i="16"/>
  <c r="I3" i="16" s="1"/>
  <c r="AY6" i="17"/>
  <c r="AZ6" i="17"/>
  <c r="AZ18" i="17"/>
  <c r="AY18" i="17"/>
  <c r="C82" i="16"/>
  <c r="C80" i="16"/>
  <c r="L13" i="16" s="1"/>
  <c r="C83" i="16"/>
  <c r="AV2" i="17"/>
  <c r="C74" i="16"/>
  <c r="AU2" i="17"/>
  <c r="C82" i="14"/>
  <c r="C85" i="14"/>
  <c r="C84" i="14"/>
  <c r="C86" i="14"/>
  <c r="AU2" i="15"/>
  <c r="C72" i="14"/>
  <c r="I9" i="14"/>
  <c r="I7" i="14"/>
  <c r="I5" i="14"/>
  <c r="I3" i="14"/>
  <c r="I10" i="14"/>
  <c r="I6" i="14"/>
  <c r="I4" i="14"/>
  <c r="I11" i="14"/>
  <c r="I8" i="14"/>
  <c r="C77" i="14"/>
  <c r="AV2" i="15"/>
  <c r="T2" i="15"/>
  <c r="C20" i="14" s="1"/>
  <c r="C83" i="12"/>
  <c r="C74" i="12"/>
  <c r="C79" i="12" s="1"/>
  <c r="C80" i="12"/>
  <c r="L13" i="12" s="1"/>
  <c r="C85" i="12"/>
  <c r="C84" i="12"/>
  <c r="C86" i="12"/>
  <c r="C82" i="12"/>
  <c r="AZ7" i="13"/>
  <c r="AY7" i="13"/>
  <c r="AU2" i="13"/>
  <c r="AV2" i="13"/>
  <c r="T2" i="13"/>
  <c r="C20" i="12" s="1"/>
  <c r="I8" i="12"/>
  <c r="I6" i="12"/>
  <c r="I4" i="12"/>
  <c r="I9" i="12"/>
  <c r="I11" i="12"/>
  <c r="I7" i="12"/>
  <c r="I5" i="12"/>
  <c r="I3" i="12"/>
  <c r="C77" i="12"/>
  <c r="I10" i="12"/>
  <c r="C71" i="10"/>
  <c r="C72" i="10" s="1"/>
  <c r="H13" i="10"/>
  <c r="C75" i="10"/>
  <c r="AY9" i="11"/>
  <c r="AZ9" i="11"/>
  <c r="AZ10" i="11"/>
  <c r="AY10" i="11"/>
  <c r="AZ12" i="11"/>
  <c r="AY12" i="11"/>
  <c r="AY13" i="11"/>
  <c r="AZ13" i="11"/>
  <c r="AZ15" i="11"/>
  <c r="AY15" i="11"/>
  <c r="AY19" i="11"/>
  <c r="AZ19" i="11"/>
  <c r="AZ17" i="11"/>
  <c r="AY17" i="11"/>
  <c r="AZ5" i="11"/>
  <c r="AY5" i="11"/>
  <c r="AZ18" i="11"/>
  <c r="AY18" i="11"/>
  <c r="AZ14" i="11"/>
  <c r="AY14" i="11"/>
  <c r="AZ16" i="11"/>
  <c r="AY16" i="11"/>
  <c r="AY11" i="11"/>
  <c r="AZ11" i="11"/>
  <c r="AZ7" i="11"/>
  <c r="AY7" i="11"/>
  <c r="AY8" i="11"/>
  <c r="AZ8" i="11"/>
  <c r="AX2" i="11"/>
  <c r="C2" i="10" s="1"/>
  <c r="T6" i="11"/>
  <c r="AU6" i="11" s="1"/>
  <c r="AV6" i="11" s="1"/>
  <c r="AT2" i="11"/>
  <c r="AY19" i="9"/>
  <c r="AZ19" i="9"/>
  <c r="AY18" i="9"/>
  <c r="AZ18" i="9"/>
  <c r="AY17" i="9"/>
  <c r="AZ17" i="9"/>
  <c r="AY16" i="9"/>
  <c r="AZ16" i="9"/>
  <c r="AY15" i="9"/>
  <c r="AZ15" i="9"/>
  <c r="AY13" i="9"/>
  <c r="AZ13" i="9"/>
  <c r="AY12" i="9"/>
  <c r="AZ12" i="9"/>
  <c r="AY11" i="9"/>
  <c r="AZ11" i="9"/>
  <c r="AY10" i="9"/>
  <c r="AZ10" i="9"/>
  <c r="AY9" i="9"/>
  <c r="AZ9" i="9"/>
  <c r="AY8" i="9"/>
  <c r="AZ8" i="9"/>
  <c r="AY7" i="9"/>
  <c r="AZ7" i="9"/>
  <c r="AY6" i="9"/>
  <c r="AZ6" i="9"/>
  <c r="AY5" i="9"/>
  <c r="AZ5" i="9"/>
  <c r="AZ14" i="9"/>
  <c r="AZ4" i="9"/>
  <c r="T2" i="9"/>
  <c r="C20" i="8" s="1"/>
  <c r="AU2" i="9"/>
  <c r="C80" i="8"/>
  <c r="C82" i="8"/>
  <c r="C83" i="8"/>
  <c r="C84" i="8"/>
  <c r="C70" i="8"/>
  <c r="C72" i="8" s="1"/>
  <c r="C73" i="8"/>
  <c r="C79" i="8" s="1"/>
  <c r="H13" i="8"/>
  <c r="C71" i="8"/>
  <c r="AZ10" i="7"/>
  <c r="AY10" i="7"/>
  <c r="AZ18" i="7"/>
  <c r="AY18" i="7"/>
  <c r="AZ19" i="7"/>
  <c r="AY19" i="7"/>
  <c r="AZ17" i="7"/>
  <c r="AY17" i="7"/>
  <c r="AZ16" i="7"/>
  <c r="AY16" i="7"/>
  <c r="AZ5" i="7"/>
  <c r="AY5" i="7"/>
  <c r="AZ6" i="7"/>
  <c r="AY6" i="7"/>
  <c r="AZ7" i="7"/>
  <c r="AY7" i="7"/>
  <c r="AZ9" i="7"/>
  <c r="AY9" i="7"/>
  <c r="AZ14" i="7"/>
  <c r="AY14" i="7"/>
  <c r="AY8" i="7"/>
  <c r="AZ8" i="7"/>
  <c r="AZ11" i="7"/>
  <c r="AY11" i="7"/>
  <c r="AY12" i="7"/>
  <c r="AZ12" i="7"/>
  <c r="AY15" i="7"/>
  <c r="AZ15" i="7"/>
  <c r="AR2" i="7"/>
  <c r="R2" i="7"/>
  <c r="AV4" i="7"/>
  <c r="AZ4" i="7" s="1"/>
  <c r="C79" i="6"/>
  <c r="AT2" i="7"/>
  <c r="C71" i="6"/>
  <c r="C83" i="6"/>
  <c r="C82" i="6"/>
  <c r="C80" i="6"/>
  <c r="C84" i="6"/>
  <c r="C70" i="6"/>
  <c r="C72" i="6" s="1"/>
  <c r="AZ6" i="5"/>
  <c r="AY6" i="5"/>
  <c r="AZ9" i="5"/>
  <c r="AY9" i="5"/>
  <c r="AY10" i="5"/>
  <c r="AZ10" i="5"/>
  <c r="AZ11" i="5"/>
  <c r="AY11" i="5"/>
  <c r="AY13" i="5"/>
  <c r="AZ13" i="5"/>
  <c r="AZ15" i="5"/>
  <c r="AY15" i="5"/>
  <c r="AZ4" i="5"/>
  <c r="AY4" i="5"/>
  <c r="AZ18" i="5"/>
  <c r="AY18" i="5"/>
  <c r="AY19" i="5"/>
  <c r="AZ19" i="5"/>
  <c r="AZ17" i="5"/>
  <c r="AY17" i="5"/>
  <c r="AZ5" i="5"/>
  <c r="AY5" i="5"/>
  <c r="AZ7" i="5"/>
  <c r="AY7" i="5"/>
  <c r="AZ8" i="5"/>
  <c r="AY8" i="5"/>
  <c r="AZ12" i="5"/>
  <c r="AY12" i="5"/>
  <c r="AZ16" i="5"/>
  <c r="AY16" i="5"/>
  <c r="C69" i="4"/>
  <c r="C84" i="4" s="1"/>
  <c r="H13" i="4"/>
  <c r="C71" i="4"/>
  <c r="C79" i="4"/>
  <c r="C77" i="16" l="1"/>
  <c r="I8" i="16"/>
  <c r="I6" i="16"/>
  <c r="I10" i="16"/>
  <c r="I7" i="16"/>
  <c r="I11" i="16"/>
  <c r="I5" i="16"/>
  <c r="I9" i="16"/>
  <c r="I4" i="16"/>
  <c r="J7" i="16"/>
  <c r="M7" i="16" s="1"/>
  <c r="J5" i="16"/>
  <c r="M5" i="16" s="1"/>
  <c r="J3" i="16"/>
  <c r="C76" i="16"/>
  <c r="C79" i="16"/>
  <c r="J10" i="16"/>
  <c r="M10" i="16" s="1"/>
  <c r="C78" i="16"/>
  <c r="K13" i="16" s="1"/>
  <c r="J11" i="16"/>
  <c r="M11" i="16" s="1"/>
  <c r="J8" i="16"/>
  <c r="M8" i="16" s="1"/>
  <c r="J6" i="16"/>
  <c r="M6" i="16" s="1"/>
  <c r="J4" i="16"/>
  <c r="M4" i="16" s="1"/>
  <c r="J9" i="16"/>
  <c r="M9" i="16" s="1"/>
  <c r="C80" i="14"/>
  <c r="L13" i="14" s="1"/>
  <c r="C83" i="14"/>
  <c r="C74" i="14"/>
  <c r="I13" i="14"/>
  <c r="J5" i="12"/>
  <c r="M5" i="12" s="1"/>
  <c r="J4" i="12"/>
  <c r="M4" i="12" s="1"/>
  <c r="C76" i="12"/>
  <c r="J6" i="12"/>
  <c r="M6" i="12" s="1"/>
  <c r="J10" i="12"/>
  <c r="M10" i="12" s="1"/>
  <c r="C78" i="12"/>
  <c r="K13" i="12" s="1"/>
  <c r="J9" i="12"/>
  <c r="M9" i="12" s="1"/>
  <c r="J11" i="12"/>
  <c r="M11" i="12" s="1"/>
  <c r="J8" i="12"/>
  <c r="M8" i="12" s="1"/>
  <c r="J7" i="12"/>
  <c r="M7" i="12" s="1"/>
  <c r="J3" i="12"/>
  <c r="I13" i="12"/>
  <c r="C81" i="10"/>
  <c r="C84" i="10"/>
  <c r="C86" i="10"/>
  <c r="C85" i="10"/>
  <c r="C82" i="10"/>
  <c r="C83" i="10"/>
  <c r="AZ6" i="11"/>
  <c r="AY6" i="11"/>
  <c r="C73" i="10"/>
  <c r="C80" i="10" s="1"/>
  <c r="L13" i="10" s="1"/>
  <c r="C74" i="10"/>
  <c r="J9" i="10" s="1"/>
  <c r="M9" i="10" s="1"/>
  <c r="AV2" i="11"/>
  <c r="AU2" i="11"/>
  <c r="T2" i="11"/>
  <c r="C20" i="10" s="1"/>
  <c r="AV2" i="9"/>
  <c r="C78" i="8"/>
  <c r="L13" i="8" s="1"/>
  <c r="C81" i="8"/>
  <c r="C76" i="8"/>
  <c r="K13" i="8" s="1"/>
  <c r="J7" i="8"/>
  <c r="M7" i="8" s="1"/>
  <c r="J5" i="8"/>
  <c r="M5" i="8" s="1"/>
  <c r="J8" i="8"/>
  <c r="M8" i="8" s="1"/>
  <c r="J9" i="8"/>
  <c r="M9" i="8" s="1"/>
  <c r="J11" i="8"/>
  <c r="M11" i="8" s="1"/>
  <c r="C74" i="8"/>
  <c r="C77" i="8"/>
  <c r="J3" i="8"/>
  <c r="J4" i="8"/>
  <c r="M4" i="8" s="1"/>
  <c r="J6" i="8"/>
  <c r="M6" i="8" s="1"/>
  <c r="J10" i="8"/>
  <c r="M10" i="8" s="1"/>
  <c r="I5" i="8"/>
  <c r="I7" i="8"/>
  <c r="I8" i="8"/>
  <c r="I9" i="8"/>
  <c r="I10" i="8"/>
  <c r="I11" i="8"/>
  <c r="C75" i="8"/>
  <c r="I3" i="8"/>
  <c r="I4" i="8"/>
  <c r="I6" i="8"/>
  <c r="I8" i="6"/>
  <c r="I6" i="6"/>
  <c r="I4" i="6"/>
  <c r="I7" i="6"/>
  <c r="I3" i="6"/>
  <c r="I11" i="6"/>
  <c r="I9" i="6"/>
  <c r="I5" i="6"/>
  <c r="C75" i="6"/>
  <c r="I10" i="6"/>
  <c r="C76" i="6"/>
  <c r="K13" i="6" s="1"/>
  <c r="J10" i="6"/>
  <c r="M10" i="6" s="1"/>
  <c r="J6" i="6"/>
  <c r="M6" i="6" s="1"/>
  <c r="J11" i="6"/>
  <c r="M11" i="6" s="1"/>
  <c r="J7" i="6"/>
  <c r="M7" i="6" s="1"/>
  <c r="J8" i="6"/>
  <c r="M8" i="6" s="1"/>
  <c r="J4" i="6"/>
  <c r="M4" i="6" s="1"/>
  <c r="J9" i="6"/>
  <c r="M9" i="6" s="1"/>
  <c r="J5" i="6"/>
  <c r="M5" i="6" s="1"/>
  <c r="J3" i="6"/>
  <c r="C77" i="6"/>
  <c r="C74" i="6"/>
  <c r="C81" i="6"/>
  <c r="C78" i="6"/>
  <c r="L13" i="6" s="1"/>
  <c r="T2" i="7"/>
  <c r="C20" i="6" s="1"/>
  <c r="AV2" i="7"/>
  <c r="AY4" i="7"/>
  <c r="AU2" i="7"/>
  <c r="I7" i="4"/>
  <c r="I11" i="4"/>
  <c r="I6" i="4"/>
  <c r="I8" i="4"/>
  <c r="I10" i="4"/>
  <c r="I9" i="4"/>
  <c r="I5" i="4"/>
  <c r="C80" i="4"/>
  <c r="C83" i="4"/>
  <c r="C70" i="4"/>
  <c r="C72" i="4" s="1"/>
  <c r="C76" i="4" s="1"/>
  <c r="K13" i="4" s="1"/>
  <c r="C82" i="4"/>
  <c r="I3" i="4"/>
  <c r="C75" i="4"/>
  <c r="I4" i="4"/>
  <c r="I13" i="16" l="1"/>
  <c r="M3" i="16"/>
  <c r="M13" i="16" s="1"/>
  <c r="J13" i="16"/>
  <c r="J7" i="14"/>
  <c r="M7" i="14" s="1"/>
  <c r="J5" i="14"/>
  <c r="M5" i="14" s="1"/>
  <c r="J3" i="14"/>
  <c r="J10" i="14"/>
  <c r="M10" i="14" s="1"/>
  <c r="C79" i="14"/>
  <c r="J9" i="14"/>
  <c r="M9" i="14" s="1"/>
  <c r="J4" i="14"/>
  <c r="M4" i="14" s="1"/>
  <c r="C76" i="14"/>
  <c r="J11" i="14"/>
  <c r="M11" i="14" s="1"/>
  <c r="J8" i="14"/>
  <c r="M8" i="14" s="1"/>
  <c r="C78" i="14"/>
  <c r="K13" i="14" s="1"/>
  <c r="J6" i="14"/>
  <c r="M6" i="14" s="1"/>
  <c r="J13" i="12"/>
  <c r="N9" i="12" s="1"/>
  <c r="M3" i="12"/>
  <c r="M13" i="12" s="1"/>
  <c r="I11" i="10"/>
  <c r="I6" i="10"/>
  <c r="J10" i="10"/>
  <c r="M10" i="10" s="1"/>
  <c r="I8" i="10"/>
  <c r="I10" i="10"/>
  <c r="C77" i="10"/>
  <c r="I3" i="10"/>
  <c r="J4" i="10"/>
  <c r="M4" i="10" s="1"/>
  <c r="I5" i="10"/>
  <c r="C76" i="10"/>
  <c r="J6" i="10"/>
  <c r="M6" i="10" s="1"/>
  <c r="I7" i="10"/>
  <c r="I4" i="10"/>
  <c r="C78" i="10"/>
  <c r="K13" i="10" s="1"/>
  <c r="J5" i="10"/>
  <c r="M5" i="10" s="1"/>
  <c r="J11" i="10"/>
  <c r="M11" i="10" s="1"/>
  <c r="I9" i="10"/>
  <c r="C79" i="10"/>
  <c r="J3" i="10"/>
  <c r="M3" i="10" s="1"/>
  <c r="J7" i="10"/>
  <c r="M7" i="10" s="1"/>
  <c r="J8" i="10"/>
  <c r="M8" i="10" s="1"/>
  <c r="M3" i="8"/>
  <c r="M13" i="8" s="1"/>
  <c r="J13" i="8"/>
  <c r="I13" i="8"/>
  <c r="I13" i="6"/>
  <c r="J13" i="6"/>
  <c r="M3" i="6"/>
  <c r="M13" i="6" s="1"/>
  <c r="C81" i="4"/>
  <c r="C77" i="4"/>
  <c r="J3" i="4"/>
  <c r="M3" i="4" s="1"/>
  <c r="C74" i="4"/>
  <c r="J6" i="4"/>
  <c r="M6" i="4" s="1"/>
  <c r="J11" i="4"/>
  <c r="M11" i="4" s="1"/>
  <c r="J7" i="4"/>
  <c r="M7" i="4" s="1"/>
  <c r="J8" i="4"/>
  <c r="M8" i="4" s="1"/>
  <c r="J9" i="4"/>
  <c r="M9" i="4" s="1"/>
  <c r="J10" i="4"/>
  <c r="M10" i="4" s="1"/>
  <c r="J5" i="4"/>
  <c r="M5" i="4" s="1"/>
  <c r="J4" i="4"/>
  <c r="M4" i="4" s="1"/>
  <c r="C78" i="4"/>
  <c r="L13" i="4" s="1"/>
  <c r="I13" i="4"/>
  <c r="N8" i="16" l="1"/>
  <c r="N9" i="16"/>
  <c r="J13" i="14"/>
  <c r="M3" i="14"/>
  <c r="M13" i="14" s="1"/>
  <c r="N8" i="12"/>
  <c r="I13" i="10"/>
  <c r="M13" i="10"/>
  <c r="J13" i="10"/>
  <c r="N8" i="10" s="1"/>
  <c r="N9" i="8"/>
  <c r="N8" i="8"/>
  <c r="N9" i="6"/>
  <c r="N8" i="6"/>
  <c r="J13" i="4"/>
  <c r="N8" i="4" s="1"/>
  <c r="M13" i="4"/>
  <c r="N8" i="14" l="1"/>
  <c r="N9" i="14"/>
  <c r="N9" i="10"/>
  <c r="N9" i="4"/>
  <c r="U5" i="2"/>
  <c r="F57" i="2"/>
  <c r="AT4" i="3"/>
  <c r="AR160" i="3"/>
  <c r="AQ159" i="3"/>
  <c r="AR159" i="3" s="1"/>
  <c r="AQ158" i="3"/>
  <c r="AR158" i="3" s="1"/>
  <c r="AU158" i="3" s="1"/>
  <c r="AR157" i="3"/>
  <c r="AU157" i="3" s="1"/>
  <c r="AQ157" i="3"/>
  <c r="AQ156" i="3"/>
  <c r="AR156" i="3" s="1"/>
  <c r="AU156" i="3" s="1"/>
  <c r="AR155" i="3"/>
  <c r="AU155" i="3" s="1"/>
  <c r="AQ155" i="3"/>
  <c r="AR149" i="3"/>
  <c r="AQ149" i="3"/>
  <c r="AR146" i="3"/>
  <c r="AR145" i="3"/>
  <c r="AQ144" i="3"/>
  <c r="AR144" i="3" s="1"/>
  <c r="AM144" i="3"/>
  <c r="AG144" i="3"/>
  <c r="AD144" i="3"/>
  <c r="AA144" i="3"/>
  <c r="S144" i="3"/>
  <c r="Q144" i="3"/>
  <c r="AP143" i="3"/>
  <c r="AM143" i="3"/>
  <c r="AG143" i="3"/>
  <c r="AD143" i="3"/>
  <c r="AA143" i="3"/>
  <c r="Q143" i="3"/>
  <c r="S143" i="3" s="1"/>
  <c r="AQ143" i="3" s="1"/>
  <c r="AR143" i="3" s="1"/>
  <c r="AM142" i="3"/>
  <c r="AG142" i="3"/>
  <c r="AD142" i="3"/>
  <c r="AA142" i="3"/>
  <c r="AQ142" i="3" s="1"/>
  <c r="AR142" i="3" s="1"/>
  <c r="S142" i="3"/>
  <c r="Q142" i="3"/>
  <c r="AP141" i="3"/>
  <c r="AQ141" i="3" s="1"/>
  <c r="AR141" i="3" s="1"/>
  <c r="AM141" i="3"/>
  <c r="AG141" i="3"/>
  <c r="AD141" i="3"/>
  <c r="AA141" i="3"/>
  <c r="S141" i="3"/>
  <c r="Q141" i="3"/>
  <c r="AM140" i="3"/>
  <c r="AG140" i="3"/>
  <c r="AD140" i="3"/>
  <c r="AA140" i="3"/>
  <c r="Q140" i="3"/>
  <c r="S140" i="3" s="1"/>
  <c r="AQ140" i="3" s="1"/>
  <c r="AR140" i="3" s="1"/>
  <c r="AM139" i="3"/>
  <c r="AG139" i="3"/>
  <c r="AD139" i="3"/>
  <c r="AA139" i="3"/>
  <c r="S139" i="3"/>
  <c r="Q139" i="3"/>
  <c r="AM138" i="3"/>
  <c r="AG138" i="3"/>
  <c r="AD138" i="3"/>
  <c r="AA138" i="3"/>
  <c r="S138" i="3"/>
  <c r="Q138" i="3"/>
  <c r="AM137" i="3"/>
  <c r="AQ137" i="3" s="1"/>
  <c r="AR137" i="3" s="1"/>
  <c r="AG137" i="3"/>
  <c r="AD137" i="3"/>
  <c r="AA137" i="3"/>
  <c r="S137" i="3"/>
  <c r="Q137" i="3"/>
  <c r="AR136" i="3"/>
  <c r="AV136" i="3" s="1"/>
  <c r="AM136" i="3"/>
  <c r="AG136" i="3"/>
  <c r="AD136" i="3"/>
  <c r="AA136" i="3"/>
  <c r="S136" i="3"/>
  <c r="AQ136" i="3" s="1"/>
  <c r="Q136" i="3"/>
  <c r="AM135" i="3"/>
  <c r="AG135" i="3"/>
  <c r="AD135" i="3"/>
  <c r="AA135" i="3"/>
  <c r="S135" i="3"/>
  <c r="Q135" i="3"/>
  <c r="AM134" i="3"/>
  <c r="AG134" i="3"/>
  <c r="AD134" i="3"/>
  <c r="AA134" i="3"/>
  <c r="S134" i="3"/>
  <c r="Q134" i="3"/>
  <c r="AQ133" i="3"/>
  <c r="AR133" i="3" s="1"/>
  <c r="AM133" i="3"/>
  <c r="AG133" i="3"/>
  <c r="AD133" i="3"/>
  <c r="AA133" i="3"/>
  <c r="S133" i="3"/>
  <c r="Q133" i="3"/>
  <c r="AM132" i="3"/>
  <c r="AG132" i="3"/>
  <c r="AD132" i="3"/>
  <c r="AA132" i="3"/>
  <c r="Q132" i="3"/>
  <c r="S132" i="3" s="1"/>
  <c r="AQ132" i="3" s="1"/>
  <c r="AR132" i="3" s="1"/>
  <c r="AM131" i="3"/>
  <c r="AG131" i="3"/>
  <c r="AD131" i="3"/>
  <c r="AA131" i="3"/>
  <c r="S131" i="3"/>
  <c r="Q131" i="3"/>
  <c r="AM130" i="3"/>
  <c r="AG130" i="3"/>
  <c r="AD130" i="3"/>
  <c r="AA130" i="3"/>
  <c r="S130" i="3"/>
  <c r="AQ130" i="3" s="1"/>
  <c r="AR130" i="3" s="1"/>
  <c r="Q130" i="3"/>
  <c r="AQ129" i="3"/>
  <c r="AR129" i="3" s="1"/>
  <c r="AM129" i="3"/>
  <c r="AG129" i="3"/>
  <c r="AD129" i="3"/>
  <c r="AA129" i="3"/>
  <c r="S129" i="3"/>
  <c r="Q129" i="3"/>
  <c r="AM128" i="3"/>
  <c r="AG128" i="3"/>
  <c r="AD128" i="3"/>
  <c r="AA128" i="3"/>
  <c r="X128" i="3"/>
  <c r="Q128" i="3"/>
  <c r="S128" i="3" s="1"/>
  <c r="AQ128" i="3" s="1"/>
  <c r="AR128" i="3" s="1"/>
  <c r="AQ127" i="3"/>
  <c r="AR127" i="3" s="1"/>
  <c r="AM127" i="3"/>
  <c r="AD127" i="3"/>
  <c r="AA127" i="3"/>
  <c r="BF126" i="3"/>
  <c r="BH126" i="3" s="1"/>
  <c r="AP126" i="3"/>
  <c r="AM126" i="3"/>
  <c r="AD126" i="3"/>
  <c r="AA126" i="3"/>
  <c r="X126" i="3"/>
  <c r="Q126" i="3"/>
  <c r="S126" i="3" s="1"/>
  <c r="AQ126" i="3" s="1"/>
  <c r="AR126" i="3" s="1"/>
  <c r="AU126" i="3" s="1"/>
  <c r="AP125" i="3"/>
  <c r="AM125" i="3"/>
  <c r="AQ125" i="3" s="1"/>
  <c r="AR125" i="3" s="1"/>
  <c r="AD125" i="3"/>
  <c r="AA125" i="3"/>
  <c r="X125" i="3"/>
  <c r="S125" i="3"/>
  <c r="Q125" i="3"/>
  <c r="AR124" i="3"/>
  <c r="AV124" i="3" s="1"/>
  <c r="AP124" i="3"/>
  <c r="AM124" i="3"/>
  <c r="AD124" i="3"/>
  <c r="AA124" i="3"/>
  <c r="X124" i="3"/>
  <c r="S124" i="3"/>
  <c r="AQ124" i="3" s="1"/>
  <c r="Q124" i="3"/>
  <c r="AP123" i="3"/>
  <c r="AM123" i="3"/>
  <c r="AD123" i="3"/>
  <c r="AA123" i="3"/>
  <c r="X123" i="3"/>
  <c r="S123" i="3"/>
  <c r="AQ123" i="3" s="1"/>
  <c r="AR123" i="3" s="1"/>
  <c r="Q123" i="3"/>
  <c r="BH122" i="3"/>
  <c r="BF122" i="3"/>
  <c r="AP122" i="3"/>
  <c r="AM122" i="3"/>
  <c r="AD122" i="3"/>
  <c r="AA122" i="3"/>
  <c r="X122" i="3"/>
  <c r="Q122" i="3"/>
  <c r="S122" i="3" s="1"/>
  <c r="AQ122" i="3" s="1"/>
  <c r="AR122" i="3" s="1"/>
  <c r="AP121" i="3"/>
  <c r="AM121" i="3"/>
  <c r="AD121" i="3"/>
  <c r="AA121" i="3"/>
  <c r="X121" i="3"/>
  <c r="S121" i="3"/>
  <c r="AQ121" i="3" s="1"/>
  <c r="AR121" i="3" s="1"/>
  <c r="Q121" i="3"/>
  <c r="AP120" i="3"/>
  <c r="AM120" i="3"/>
  <c r="AD120" i="3"/>
  <c r="AA120" i="3"/>
  <c r="X120" i="3"/>
  <c r="Q120" i="3"/>
  <c r="S120" i="3" s="1"/>
  <c r="AQ120" i="3" s="1"/>
  <c r="AR120" i="3" s="1"/>
  <c r="AP119" i="3"/>
  <c r="AM119" i="3"/>
  <c r="AD119" i="3"/>
  <c r="AA119" i="3"/>
  <c r="X119" i="3"/>
  <c r="S119" i="3"/>
  <c r="Q119" i="3"/>
  <c r="AP118" i="3"/>
  <c r="AM118" i="3"/>
  <c r="AD118" i="3"/>
  <c r="AA118" i="3"/>
  <c r="X118" i="3"/>
  <c r="Q118" i="3"/>
  <c r="S118" i="3" s="1"/>
  <c r="AQ118" i="3" s="1"/>
  <c r="AR118" i="3" s="1"/>
  <c r="BK117" i="3"/>
  <c r="BM117" i="3" s="1"/>
  <c r="BH117" i="3"/>
  <c r="BF117" i="3"/>
  <c r="AP117" i="3"/>
  <c r="AM117" i="3"/>
  <c r="AD117" i="3"/>
  <c r="AA117" i="3"/>
  <c r="X117" i="3"/>
  <c r="S117" i="3"/>
  <c r="Q117" i="3"/>
  <c r="BM116" i="3"/>
  <c r="BK116" i="3"/>
  <c r="BF116" i="3"/>
  <c r="BH116" i="3" s="1"/>
  <c r="BH3" i="3" s="1"/>
  <c r="AP116" i="3"/>
  <c r="AM116" i="3"/>
  <c r="AD116" i="3"/>
  <c r="AA116" i="3"/>
  <c r="X116" i="3"/>
  <c r="Q116" i="3"/>
  <c r="S116" i="3" s="1"/>
  <c r="AQ116" i="3" s="1"/>
  <c r="AR116" i="3" s="1"/>
  <c r="AU116" i="3" s="1"/>
  <c r="AP115" i="3"/>
  <c r="AM115" i="3"/>
  <c r="AQ115" i="3" s="1"/>
  <c r="AR115" i="3" s="1"/>
  <c r="AD115" i="3"/>
  <c r="AA115" i="3"/>
  <c r="X115" i="3"/>
  <c r="S115" i="3"/>
  <c r="Q115" i="3"/>
  <c r="AR114" i="3"/>
  <c r="AV114" i="3" s="1"/>
  <c r="AP114" i="3"/>
  <c r="AM114" i="3"/>
  <c r="AD114" i="3"/>
  <c r="AA114" i="3"/>
  <c r="X114" i="3"/>
  <c r="S114" i="3"/>
  <c r="AQ114" i="3" s="1"/>
  <c r="Q114" i="3"/>
  <c r="AP113" i="3"/>
  <c r="AM113" i="3"/>
  <c r="AD113" i="3"/>
  <c r="AA113" i="3"/>
  <c r="X113" i="3"/>
  <c r="S113" i="3"/>
  <c r="AQ113" i="3" s="1"/>
  <c r="AR113" i="3" s="1"/>
  <c r="Q113" i="3"/>
  <c r="AQ112" i="3"/>
  <c r="AR112" i="3" s="1"/>
  <c r="AP112" i="3"/>
  <c r="AM112" i="3"/>
  <c r="AD112" i="3"/>
  <c r="AA112" i="3"/>
  <c r="X112" i="3"/>
  <c r="Q112" i="3"/>
  <c r="S112" i="3" s="1"/>
  <c r="AU111" i="3"/>
  <c r="AP111" i="3"/>
  <c r="AM111" i="3"/>
  <c r="AD111" i="3"/>
  <c r="AA111" i="3"/>
  <c r="X111" i="3"/>
  <c r="S111" i="3"/>
  <c r="AQ111" i="3" s="1"/>
  <c r="AR111" i="3" s="1"/>
  <c r="AV111" i="3" s="1"/>
  <c r="Q111" i="3"/>
  <c r="AP110" i="3"/>
  <c r="AM110" i="3"/>
  <c r="AD110" i="3"/>
  <c r="AA110" i="3"/>
  <c r="X110" i="3"/>
  <c r="Q110" i="3"/>
  <c r="S110" i="3" s="1"/>
  <c r="AQ109" i="3"/>
  <c r="AR109" i="3" s="1"/>
  <c r="AM109" i="3"/>
  <c r="AD109" i="3"/>
  <c r="AA109" i="3"/>
  <c r="X109" i="3"/>
  <c r="Q109" i="3"/>
  <c r="S109" i="3" s="1"/>
  <c r="AM108" i="3"/>
  <c r="AD108" i="3"/>
  <c r="AA108" i="3"/>
  <c r="X108" i="3"/>
  <c r="Q108" i="3"/>
  <c r="S108" i="3" s="1"/>
  <c r="AQ108" i="3" s="1"/>
  <c r="AR108" i="3" s="1"/>
  <c r="AM107" i="3"/>
  <c r="AD107" i="3"/>
  <c r="AA107" i="3"/>
  <c r="X107" i="3"/>
  <c r="Q107" i="3"/>
  <c r="S107" i="3" s="1"/>
  <c r="AM106" i="3"/>
  <c r="AD106" i="3"/>
  <c r="AA106" i="3"/>
  <c r="X106" i="3"/>
  <c r="Q106" i="3"/>
  <c r="S106" i="3" s="1"/>
  <c r="AQ106" i="3" s="1"/>
  <c r="AR106" i="3" s="1"/>
  <c r="AM105" i="3"/>
  <c r="AD105" i="3"/>
  <c r="AA105" i="3"/>
  <c r="X105" i="3"/>
  <c r="Q105" i="3"/>
  <c r="S105" i="3" s="1"/>
  <c r="AQ105" i="3" s="1"/>
  <c r="AR105" i="3" s="1"/>
  <c r="BK104" i="3"/>
  <c r="BN104" i="3" s="1"/>
  <c r="BN3" i="3" s="1"/>
  <c r="BF104" i="3"/>
  <c r="BH104" i="3" s="1"/>
  <c r="AM104" i="3"/>
  <c r="AD104" i="3"/>
  <c r="AA104" i="3"/>
  <c r="X104" i="3"/>
  <c r="Q104" i="3"/>
  <c r="S104" i="3" s="1"/>
  <c r="AQ104" i="3" s="1"/>
  <c r="AR104" i="3" s="1"/>
  <c r="AM103" i="3"/>
  <c r="AD103" i="3"/>
  <c r="AA103" i="3"/>
  <c r="X103" i="3"/>
  <c r="Q103" i="3"/>
  <c r="S103" i="3" s="1"/>
  <c r="AQ103" i="3" s="1"/>
  <c r="AR103" i="3" s="1"/>
  <c r="AM102" i="3"/>
  <c r="AD102" i="3"/>
  <c r="AA102" i="3"/>
  <c r="X102" i="3"/>
  <c r="S102" i="3"/>
  <c r="AQ102" i="3" s="1"/>
  <c r="AR102" i="3" s="1"/>
  <c r="AV102" i="3" s="1"/>
  <c r="Q102" i="3"/>
  <c r="BF101" i="3"/>
  <c r="BH101" i="3" s="1"/>
  <c r="AM101" i="3"/>
  <c r="AD101" i="3"/>
  <c r="AA101" i="3"/>
  <c r="X101" i="3"/>
  <c r="Q101" i="3"/>
  <c r="S101" i="3" s="1"/>
  <c r="AQ101" i="3" s="1"/>
  <c r="AR101" i="3" s="1"/>
  <c r="AM100" i="3"/>
  <c r="AD100" i="3"/>
  <c r="AA100" i="3"/>
  <c r="X100" i="3"/>
  <c r="Q100" i="3"/>
  <c r="S100" i="3" s="1"/>
  <c r="AQ100" i="3" s="1"/>
  <c r="AR100" i="3" s="1"/>
  <c r="AM99" i="3"/>
  <c r="AD99" i="3"/>
  <c r="AA99" i="3"/>
  <c r="X99" i="3"/>
  <c r="Q99" i="3"/>
  <c r="S99" i="3" s="1"/>
  <c r="AQ99" i="3" s="1"/>
  <c r="AR99" i="3" s="1"/>
  <c r="AM98" i="3"/>
  <c r="AD98" i="3"/>
  <c r="AA98" i="3"/>
  <c r="X98" i="3"/>
  <c r="Q98" i="3"/>
  <c r="S98" i="3" s="1"/>
  <c r="AQ98" i="3" s="1"/>
  <c r="AR98" i="3" s="1"/>
  <c r="AM97" i="3"/>
  <c r="AD97" i="3"/>
  <c r="AQ97" i="3" s="1"/>
  <c r="AR97" i="3" s="1"/>
  <c r="AA97" i="3"/>
  <c r="X97" i="3"/>
  <c r="Q97" i="3"/>
  <c r="S97" i="3" s="1"/>
  <c r="AQ96" i="3"/>
  <c r="AR96" i="3" s="1"/>
  <c r="AM96" i="3"/>
  <c r="AD96" i="3"/>
  <c r="AA96" i="3"/>
  <c r="X96" i="3"/>
  <c r="Q96" i="3"/>
  <c r="S96" i="3" s="1"/>
  <c r="AU95" i="3"/>
  <c r="AM95" i="3"/>
  <c r="AD95" i="3"/>
  <c r="AA95" i="3"/>
  <c r="X95" i="3"/>
  <c r="S95" i="3"/>
  <c r="AQ95" i="3" s="1"/>
  <c r="AR95" i="3" s="1"/>
  <c r="AV95" i="3" s="1"/>
  <c r="Q95" i="3"/>
  <c r="AM94" i="3"/>
  <c r="AD94" i="3"/>
  <c r="AA94" i="3"/>
  <c r="X94" i="3"/>
  <c r="Q94" i="3"/>
  <c r="S94" i="3" s="1"/>
  <c r="AQ94" i="3" s="1"/>
  <c r="AR94" i="3" s="1"/>
  <c r="AP93" i="3"/>
  <c r="AQ93" i="3" s="1"/>
  <c r="AR93" i="3" s="1"/>
  <c r="AM93" i="3"/>
  <c r="AD93" i="3"/>
  <c r="AA93" i="3"/>
  <c r="X93" i="3"/>
  <c r="S93" i="3"/>
  <c r="Q93" i="3"/>
  <c r="AM92" i="3"/>
  <c r="AD92" i="3"/>
  <c r="AA92" i="3"/>
  <c r="X92" i="3"/>
  <c r="S92" i="3"/>
  <c r="AQ92" i="3" s="1"/>
  <c r="AR92" i="3" s="1"/>
  <c r="Q92" i="3"/>
  <c r="AM91" i="3"/>
  <c r="AD91" i="3"/>
  <c r="AA91" i="3"/>
  <c r="X91" i="3"/>
  <c r="S91" i="3"/>
  <c r="Q91" i="3"/>
  <c r="AM90" i="3"/>
  <c r="AD90" i="3"/>
  <c r="AA90" i="3"/>
  <c r="X90" i="3"/>
  <c r="S90" i="3"/>
  <c r="AQ90" i="3" s="1"/>
  <c r="AR90" i="3" s="1"/>
  <c r="Q90" i="3"/>
  <c r="AQ89" i="3"/>
  <c r="AR89" i="3" s="1"/>
  <c r="AP89" i="3"/>
  <c r="AM89" i="3"/>
  <c r="AD89" i="3"/>
  <c r="AA89" i="3"/>
  <c r="X89" i="3"/>
  <c r="Q89" i="3"/>
  <c r="S89" i="3" s="1"/>
  <c r="AM88" i="3"/>
  <c r="AD88" i="3"/>
  <c r="AA88" i="3"/>
  <c r="X88" i="3"/>
  <c r="Q88" i="3"/>
  <c r="S88" i="3" s="1"/>
  <c r="AQ88" i="3" s="1"/>
  <c r="AR88" i="3" s="1"/>
  <c r="AM87" i="3"/>
  <c r="AD87" i="3"/>
  <c r="AA87" i="3"/>
  <c r="X87" i="3"/>
  <c r="Q87" i="3"/>
  <c r="S87" i="3" s="1"/>
  <c r="AM86" i="3"/>
  <c r="AD86" i="3"/>
  <c r="AA86" i="3"/>
  <c r="X86" i="3"/>
  <c r="Q86" i="3"/>
  <c r="S86" i="3" s="1"/>
  <c r="AQ86" i="3" s="1"/>
  <c r="AR86" i="3" s="1"/>
  <c r="AM85" i="3"/>
  <c r="AD85" i="3"/>
  <c r="AA85" i="3"/>
  <c r="X85" i="3"/>
  <c r="Q85" i="3"/>
  <c r="S85" i="3" s="1"/>
  <c r="AQ85" i="3" s="1"/>
  <c r="AR85" i="3" s="1"/>
  <c r="AM84" i="3"/>
  <c r="AD84" i="3"/>
  <c r="AA84" i="3"/>
  <c r="X84" i="3"/>
  <c r="S84" i="3"/>
  <c r="AQ84" i="3" s="1"/>
  <c r="AR84" i="3" s="1"/>
  <c r="AV84" i="3" s="1"/>
  <c r="Q84" i="3"/>
  <c r="BN83" i="3"/>
  <c r="AM83" i="3"/>
  <c r="AD83" i="3"/>
  <c r="AA83" i="3"/>
  <c r="X83" i="3"/>
  <c r="S83" i="3"/>
  <c r="Q83" i="3"/>
  <c r="BH82" i="3"/>
  <c r="BF82" i="3"/>
  <c r="AR82" i="3"/>
  <c r="AV82" i="3" s="1"/>
  <c r="AM82" i="3"/>
  <c r="AD82" i="3"/>
  <c r="AA82" i="3"/>
  <c r="X82" i="3"/>
  <c r="S82" i="3"/>
  <c r="AQ82" i="3" s="1"/>
  <c r="Q82" i="3"/>
  <c r="AM81" i="3"/>
  <c r="AD81" i="3"/>
  <c r="AA81" i="3"/>
  <c r="X81" i="3"/>
  <c r="S81" i="3"/>
  <c r="Q81" i="3"/>
  <c r="AM80" i="3"/>
  <c r="AD80" i="3"/>
  <c r="AA80" i="3"/>
  <c r="X80" i="3"/>
  <c r="S80" i="3"/>
  <c r="Q80" i="3"/>
  <c r="AQ79" i="3"/>
  <c r="AR79" i="3" s="1"/>
  <c r="AM79" i="3"/>
  <c r="AD79" i="3"/>
  <c r="AA79" i="3"/>
  <c r="X79" i="3"/>
  <c r="S79" i="3"/>
  <c r="Q79" i="3"/>
  <c r="AM78" i="3"/>
  <c r="AJ78" i="3"/>
  <c r="AG78" i="3"/>
  <c r="AD78" i="3"/>
  <c r="AA78" i="3"/>
  <c r="X78" i="3"/>
  <c r="S78" i="3"/>
  <c r="Q78" i="3"/>
  <c r="AM77" i="3"/>
  <c r="AJ77" i="3"/>
  <c r="AG77" i="3"/>
  <c r="AD77" i="3"/>
  <c r="AA77" i="3"/>
  <c r="X77" i="3"/>
  <c r="S77" i="3"/>
  <c r="Q77" i="3"/>
  <c r="AM76" i="3"/>
  <c r="AJ76" i="3"/>
  <c r="AG76" i="3"/>
  <c r="AD76" i="3"/>
  <c r="AA76" i="3"/>
  <c r="X76" i="3"/>
  <c r="S76" i="3"/>
  <c r="Q76" i="3"/>
  <c r="AM75" i="3"/>
  <c r="AJ75" i="3"/>
  <c r="AG75" i="3"/>
  <c r="AD75" i="3"/>
  <c r="AA75" i="3"/>
  <c r="X75" i="3"/>
  <c r="S75" i="3"/>
  <c r="Q75" i="3"/>
  <c r="AM74" i="3"/>
  <c r="AJ74" i="3"/>
  <c r="AG74" i="3"/>
  <c r="AD74" i="3"/>
  <c r="AA74" i="3"/>
  <c r="X74" i="3"/>
  <c r="S74" i="3"/>
  <c r="Q74" i="3"/>
  <c r="AM73" i="3"/>
  <c r="AJ73" i="3"/>
  <c r="AG73" i="3"/>
  <c r="AD73" i="3"/>
  <c r="AA73" i="3"/>
  <c r="X73" i="3"/>
  <c r="S73" i="3"/>
  <c r="Q73" i="3"/>
  <c r="AM72" i="3"/>
  <c r="AJ72" i="3"/>
  <c r="AG72" i="3"/>
  <c r="AD72" i="3"/>
  <c r="AA72" i="3"/>
  <c r="X72" i="3"/>
  <c r="S72" i="3"/>
  <c r="Q72" i="3"/>
  <c r="AM71" i="3"/>
  <c r="AJ71" i="3"/>
  <c r="AG71" i="3"/>
  <c r="AD71" i="3"/>
  <c r="AA71" i="3"/>
  <c r="X71" i="3"/>
  <c r="S71" i="3"/>
  <c r="Q71" i="3"/>
  <c r="BQ70" i="3"/>
  <c r="AM70" i="3"/>
  <c r="AJ70" i="3"/>
  <c r="AG70" i="3"/>
  <c r="AD70" i="3"/>
  <c r="AA70" i="3"/>
  <c r="X70" i="3"/>
  <c r="Q70" i="3"/>
  <c r="S70" i="3" s="1"/>
  <c r="AQ70" i="3" s="1"/>
  <c r="AR70" i="3" s="1"/>
  <c r="AM69" i="3"/>
  <c r="AJ69" i="3"/>
  <c r="AG69" i="3"/>
  <c r="AD69" i="3"/>
  <c r="AA69" i="3"/>
  <c r="X69" i="3"/>
  <c r="Q69" i="3"/>
  <c r="S69" i="3" s="1"/>
  <c r="AQ69" i="3" s="1"/>
  <c r="AR69" i="3" s="1"/>
  <c r="BC68" i="3"/>
  <c r="BA68" i="3"/>
  <c r="AP68" i="3"/>
  <c r="AM68" i="3"/>
  <c r="AJ68" i="3"/>
  <c r="AG68" i="3"/>
  <c r="AD68" i="3"/>
  <c r="AA68" i="3"/>
  <c r="X68" i="3"/>
  <c r="S68" i="3"/>
  <c r="Q68" i="3"/>
  <c r="AM67" i="3"/>
  <c r="AJ67" i="3"/>
  <c r="AG67" i="3"/>
  <c r="AD67" i="3"/>
  <c r="AA67" i="3"/>
  <c r="X67" i="3"/>
  <c r="S67" i="3"/>
  <c r="AQ67" i="3" s="1"/>
  <c r="AR67" i="3" s="1"/>
  <c r="Q67" i="3"/>
  <c r="AM66" i="3"/>
  <c r="AJ66" i="3"/>
  <c r="AG66" i="3"/>
  <c r="AD66" i="3"/>
  <c r="AA66" i="3"/>
  <c r="X66" i="3"/>
  <c r="S66" i="3"/>
  <c r="Q66" i="3"/>
  <c r="AM65" i="3"/>
  <c r="AJ65" i="3"/>
  <c r="AG65" i="3"/>
  <c r="AD65" i="3"/>
  <c r="AA65" i="3"/>
  <c r="X65" i="3"/>
  <c r="S65" i="3"/>
  <c r="Q65" i="3"/>
  <c r="AM64" i="3"/>
  <c r="AG64" i="3"/>
  <c r="AD64" i="3"/>
  <c r="AA64" i="3"/>
  <c r="X64" i="3"/>
  <c r="Q64" i="3"/>
  <c r="S64" i="3" s="1"/>
  <c r="AM63" i="3"/>
  <c r="AG63" i="3"/>
  <c r="AD63" i="3"/>
  <c r="AA63" i="3"/>
  <c r="X63" i="3"/>
  <c r="Q63" i="3"/>
  <c r="S63" i="3" s="1"/>
  <c r="AQ63" i="3" s="1"/>
  <c r="AR63" i="3" s="1"/>
  <c r="AR62" i="3"/>
  <c r="AU62" i="3" s="1"/>
  <c r="AM62" i="3"/>
  <c r="AJ62" i="3"/>
  <c r="AG62" i="3"/>
  <c r="AD62" i="3"/>
  <c r="AA62" i="3"/>
  <c r="X62" i="3"/>
  <c r="S62" i="3"/>
  <c r="AQ62" i="3" s="1"/>
  <c r="Q62" i="3"/>
  <c r="AM61" i="3"/>
  <c r="AJ61" i="3"/>
  <c r="AG61" i="3"/>
  <c r="AD61" i="3"/>
  <c r="AA61" i="3"/>
  <c r="X61" i="3"/>
  <c r="Q61" i="3"/>
  <c r="S61" i="3" s="1"/>
  <c r="AQ61" i="3" s="1"/>
  <c r="AR61" i="3" s="1"/>
  <c r="AM60" i="3"/>
  <c r="AD60" i="3"/>
  <c r="AA60" i="3"/>
  <c r="X60" i="3"/>
  <c r="S60" i="3"/>
  <c r="Q60" i="3"/>
  <c r="AM59" i="3"/>
  <c r="AD59" i="3"/>
  <c r="AA59" i="3"/>
  <c r="X59" i="3"/>
  <c r="S59" i="3"/>
  <c r="AQ59" i="3" s="1"/>
  <c r="AR59" i="3" s="1"/>
  <c r="AU59" i="3" s="1"/>
  <c r="Q59" i="3"/>
  <c r="AM58" i="3"/>
  <c r="AD58" i="3"/>
  <c r="AA58" i="3"/>
  <c r="X58" i="3"/>
  <c r="Q58" i="3"/>
  <c r="S58" i="3" s="1"/>
  <c r="AQ58" i="3" s="1"/>
  <c r="AR58" i="3" s="1"/>
  <c r="AM57" i="3"/>
  <c r="AD57" i="3"/>
  <c r="AA57" i="3"/>
  <c r="X57" i="3"/>
  <c r="S57" i="3"/>
  <c r="AQ57" i="3" s="1"/>
  <c r="AR57" i="3" s="1"/>
  <c r="Q57" i="3"/>
  <c r="AM56" i="3"/>
  <c r="AD56" i="3"/>
  <c r="AA56" i="3"/>
  <c r="X56" i="3"/>
  <c r="S56" i="3"/>
  <c r="AQ56" i="3" s="1"/>
  <c r="AR56" i="3" s="1"/>
  <c r="Q56" i="3"/>
  <c r="AD55" i="3"/>
  <c r="AA55" i="3"/>
  <c r="X55" i="3"/>
  <c r="Q55" i="3"/>
  <c r="S55" i="3" s="1"/>
  <c r="AQ55" i="3" s="1"/>
  <c r="AR55" i="3" s="1"/>
  <c r="AU55" i="3" s="1"/>
  <c r="AD54" i="3"/>
  <c r="AQ54" i="3" s="1"/>
  <c r="AR54" i="3" s="1"/>
  <c r="AA54" i="3"/>
  <c r="X54" i="3"/>
  <c r="S54" i="3"/>
  <c r="Q54" i="3"/>
  <c r="AQ53" i="3"/>
  <c r="AR53" i="3" s="1"/>
  <c r="AD53" i="3"/>
  <c r="AA53" i="3"/>
  <c r="X53" i="3"/>
  <c r="S53" i="3"/>
  <c r="Q53" i="3"/>
  <c r="AD52" i="3"/>
  <c r="AA52" i="3"/>
  <c r="AQ52" i="3" s="1"/>
  <c r="AR52" i="3" s="1"/>
  <c r="X52" i="3"/>
  <c r="Q52" i="3"/>
  <c r="S52" i="3" s="1"/>
  <c r="AD51" i="3"/>
  <c r="AA51" i="3"/>
  <c r="X51" i="3"/>
  <c r="Q51" i="3"/>
  <c r="S51" i="3" s="1"/>
  <c r="AD50" i="3"/>
  <c r="AA50" i="3"/>
  <c r="X50" i="3"/>
  <c r="S50" i="3"/>
  <c r="AQ50" i="3" s="1"/>
  <c r="AR50" i="3" s="1"/>
  <c r="Q50" i="3"/>
  <c r="AD49" i="3"/>
  <c r="AA49" i="3"/>
  <c r="X49" i="3"/>
  <c r="Q49" i="3"/>
  <c r="S49" i="3" s="1"/>
  <c r="AQ49" i="3" s="1"/>
  <c r="AR49" i="3" s="1"/>
  <c r="AD48" i="3"/>
  <c r="AA48" i="3"/>
  <c r="X48" i="3"/>
  <c r="S48" i="3"/>
  <c r="AQ48" i="3" s="1"/>
  <c r="AR48" i="3" s="1"/>
  <c r="AV48" i="3" s="1"/>
  <c r="Q48" i="3"/>
  <c r="AD47" i="3"/>
  <c r="AA47" i="3"/>
  <c r="X47" i="3"/>
  <c r="Q47" i="3"/>
  <c r="S47" i="3" s="1"/>
  <c r="AD46" i="3"/>
  <c r="AA46" i="3"/>
  <c r="X46" i="3"/>
  <c r="S46" i="3"/>
  <c r="AQ46" i="3" s="1"/>
  <c r="AR46" i="3" s="1"/>
  <c r="Q46" i="3"/>
  <c r="AD45" i="3"/>
  <c r="AA45" i="3"/>
  <c r="X45" i="3"/>
  <c r="Q45" i="3"/>
  <c r="S45" i="3" s="1"/>
  <c r="AQ45" i="3" s="1"/>
  <c r="AR45" i="3" s="1"/>
  <c r="AD44" i="3"/>
  <c r="AA44" i="3"/>
  <c r="X44" i="3"/>
  <c r="Q44" i="3"/>
  <c r="S44" i="3" s="1"/>
  <c r="AQ44" i="3" s="1"/>
  <c r="AR44" i="3" s="1"/>
  <c r="AD43" i="3"/>
  <c r="AA43" i="3"/>
  <c r="X43" i="3"/>
  <c r="Q43" i="3"/>
  <c r="S43" i="3" s="1"/>
  <c r="AQ43" i="3" s="1"/>
  <c r="AR43" i="3" s="1"/>
  <c r="AD42" i="3"/>
  <c r="AA42" i="3"/>
  <c r="X42" i="3"/>
  <c r="Q42" i="3"/>
  <c r="S42" i="3" s="1"/>
  <c r="AQ42" i="3" s="1"/>
  <c r="AR42" i="3" s="1"/>
  <c r="AD41" i="3"/>
  <c r="AA41" i="3"/>
  <c r="X41" i="3"/>
  <c r="S41" i="3"/>
  <c r="Q41" i="3"/>
  <c r="AD40" i="3"/>
  <c r="AA40" i="3"/>
  <c r="X40" i="3"/>
  <c r="S40" i="3"/>
  <c r="Q40" i="3"/>
  <c r="AD39" i="3"/>
  <c r="AA39" i="3"/>
  <c r="X39" i="3"/>
  <c r="Q39" i="3"/>
  <c r="S39" i="3" s="1"/>
  <c r="AQ38" i="3"/>
  <c r="AR38" i="3" s="1"/>
  <c r="AD38" i="3"/>
  <c r="AA38" i="3"/>
  <c r="X38" i="3"/>
  <c r="S38" i="3"/>
  <c r="Q38" i="3"/>
  <c r="AG37" i="3"/>
  <c r="AQ37" i="3" s="1"/>
  <c r="AR37" i="3" s="1"/>
  <c r="AD37" i="3"/>
  <c r="AA37" i="3"/>
  <c r="X37" i="3"/>
  <c r="Q37" i="3"/>
  <c r="S37" i="3" s="1"/>
  <c r="AP36" i="3"/>
  <c r="AG36" i="3"/>
  <c r="AD36" i="3"/>
  <c r="AA36" i="3"/>
  <c r="X36" i="3"/>
  <c r="Q36" i="3"/>
  <c r="S36" i="3" s="1"/>
  <c r="AQ36" i="3" s="1"/>
  <c r="AR36" i="3" s="1"/>
  <c r="AG35" i="3"/>
  <c r="AD35" i="3"/>
  <c r="AA35" i="3"/>
  <c r="X35" i="3"/>
  <c r="Q35" i="3"/>
  <c r="S35" i="3" s="1"/>
  <c r="AD34" i="3"/>
  <c r="AA34" i="3"/>
  <c r="AQ34" i="3" s="1"/>
  <c r="AR34" i="3" s="1"/>
  <c r="X34" i="3"/>
  <c r="S34" i="3"/>
  <c r="Q34" i="3"/>
  <c r="AD33" i="3"/>
  <c r="AA33" i="3"/>
  <c r="X33" i="3"/>
  <c r="Q33" i="3"/>
  <c r="S33" i="3" s="1"/>
  <c r="AQ33" i="3" s="1"/>
  <c r="AR33" i="3" s="1"/>
  <c r="BF32" i="3"/>
  <c r="BH32" i="3" s="1"/>
  <c r="AD32" i="3"/>
  <c r="AA32" i="3"/>
  <c r="X32" i="3"/>
  <c r="S32" i="3"/>
  <c r="AQ32" i="3" s="1"/>
  <c r="AR32" i="3" s="1"/>
  <c r="Q32" i="3"/>
  <c r="AP31" i="3"/>
  <c r="AD31" i="3"/>
  <c r="AA31" i="3"/>
  <c r="X31" i="3"/>
  <c r="S31" i="3"/>
  <c r="AQ31" i="3" s="1"/>
  <c r="AR31" i="3" s="1"/>
  <c r="Q31" i="3"/>
  <c r="BH30" i="3"/>
  <c r="BF30" i="3"/>
  <c r="AP30" i="3"/>
  <c r="AD30" i="3"/>
  <c r="AA30" i="3"/>
  <c r="AQ30" i="3" s="1"/>
  <c r="AR30" i="3" s="1"/>
  <c r="X30" i="3"/>
  <c r="S30" i="3"/>
  <c r="Q30" i="3"/>
  <c r="AD29" i="3"/>
  <c r="AA29" i="3"/>
  <c r="X29" i="3"/>
  <c r="Q29" i="3"/>
  <c r="S29" i="3" s="1"/>
  <c r="AP28" i="3"/>
  <c r="AD28" i="3"/>
  <c r="AQ28" i="3" s="1"/>
  <c r="AR28" i="3" s="1"/>
  <c r="AA28" i="3"/>
  <c r="X28" i="3"/>
  <c r="S28" i="3"/>
  <c r="Q28" i="3"/>
  <c r="AG27" i="3"/>
  <c r="AD27" i="3"/>
  <c r="AA27" i="3"/>
  <c r="AQ27" i="3" s="1"/>
  <c r="AR27" i="3" s="1"/>
  <c r="X27" i="3"/>
  <c r="Q27" i="3"/>
  <c r="S27" i="3" s="1"/>
  <c r="AG26" i="3"/>
  <c r="AD26" i="3"/>
  <c r="AA26" i="3"/>
  <c r="X26" i="3"/>
  <c r="Q26" i="3"/>
  <c r="S26" i="3" s="1"/>
  <c r="AQ26" i="3" s="1"/>
  <c r="AR26" i="3" s="1"/>
  <c r="AP25" i="3"/>
  <c r="AG25" i="3"/>
  <c r="AD25" i="3"/>
  <c r="AA25" i="3"/>
  <c r="X25" i="3"/>
  <c r="S25" i="3"/>
  <c r="AQ25" i="3" s="1"/>
  <c r="AR25" i="3" s="1"/>
  <c r="Q25" i="3"/>
  <c r="AP24" i="3"/>
  <c r="AG24" i="3"/>
  <c r="AD24" i="3"/>
  <c r="AA24" i="3"/>
  <c r="X24" i="3"/>
  <c r="Q24" i="3"/>
  <c r="S24" i="3" s="1"/>
  <c r="AP23" i="3"/>
  <c r="AG23" i="3"/>
  <c r="AQ23" i="3" s="1"/>
  <c r="AR23" i="3" s="1"/>
  <c r="AD23" i="3"/>
  <c r="AA23" i="3"/>
  <c r="X23" i="3"/>
  <c r="S23" i="3"/>
  <c r="Q23" i="3"/>
  <c r="AP22" i="3"/>
  <c r="AG22" i="3"/>
  <c r="AD22" i="3"/>
  <c r="X22" i="3"/>
  <c r="AP21" i="3"/>
  <c r="AG21" i="3"/>
  <c r="AD21" i="3"/>
  <c r="X21" i="3"/>
  <c r="AP20" i="3"/>
  <c r="AG20" i="3"/>
  <c r="AD20" i="3"/>
  <c r="X20" i="3"/>
  <c r="AT19" i="3"/>
  <c r="AV19" i="3" s="1"/>
  <c r="AP19" i="3"/>
  <c r="AG19" i="3"/>
  <c r="AQ19" i="3" s="1"/>
  <c r="AR19" i="3" s="1"/>
  <c r="AU19" i="3" s="1"/>
  <c r="AD19" i="3"/>
  <c r="X19" i="3"/>
  <c r="Q19" i="3"/>
  <c r="AT18" i="3"/>
  <c r="AV18" i="3" s="1"/>
  <c r="AR18" i="3"/>
  <c r="AU18" i="3" s="1"/>
  <c r="AQ18" i="3"/>
  <c r="AP18" i="3"/>
  <c r="AG18" i="3"/>
  <c r="AD18" i="3"/>
  <c r="AA18" i="3"/>
  <c r="X18" i="3"/>
  <c r="Q18" i="3"/>
  <c r="AT17" i="3"/>
  <c r="AP17" i="3"/>
  <c r="AG17" i="3"/>
  <c r="AD17" i="3"/>
  <c r="X17" i="3"/>
  <c r="AQ17" i="3" s="1"/>
  <c r="AR17" i="3" s="1"/>
  <c r="Q17" i="3"/>
  <c r="H17" i="3"/>
  <c r="AT16" i="3"/>
  <c r="AP16" i="3"/>
  <c r="AG16" i="3"/>
  <c r="AD16" i="3"/>
  <c r="X16" i="3"/>
  <c r="AQ16" i="3" s="1"/>
  <c r="AR16" i="3" s="1"/>
  <c r="Q16" i="3"/>
  <c r="H16" i="3"/>
  <c r="AT15" i="3"/>
  <c r="AP15" i="3"/>
  <c r="AG15" i="3"/>
  <c r="AD15" i="3"/>
  <c r="X15" i="3"/>
  <c r="Q15" i="3"/>
  <c r="H15" i="3"/>
  <c r="AT14" i="3"/>
  <c r="AQ14" i="3"/>
  <c r="AR14" i="3" s="1"/>
  <c r="AU14" i="3" s="1"/>
  <c r="AP14" i="3"/>
  <c r="AJ14" i="3"/>
  <c r="AG14" i="3"/>
  <c r="AD14" i="3"/>
  <c r="X14" i="3"/>
  <c r="Q14" i="3"/>
  <c r="AT13" i="3"/>
  <c r="AP13" i="3"/>
  <c r="AG13" i="3"/>
  <c r="AD13" i="3"/>
  <c r="X13" i="3"/>
  <c r="AQ13" i="3" s="1"/>
  <c r="AR13" i="3" s="1"/>
  <c r="Q13" i="3"/>
  <c r="H13" i="3"/>
  <c r="AT12" i="3"/>
  <c r="AP12" i="3"/>
  <c r="AG12" i="3"/>
  <c r="AD12" i="3"/>
  <c r="AA12" i="3"/>
  <c r="X12" i="3"/>
  <c r="Q12" i="3"/>
  <c r="S12" i="3" s="1"/>
  <c r="AQ12" i="3" s="1"/>
  <c r="AR12" i="3" s="1"/>
  <c r="AT11" i="3"/>
  <c r="AP11" i="3"/>
  <c r="AG11" i="3"/>
  <c r="AD11" i="3"/>
  <c r="AA11" i="3"/>
  <c r="AA3" i="3" s="1"/>
  <c r="X11" i="3"/>
  <c r="S11" i="3"/>
  <c r="AQ11" i="3" s="1"/>
  <c r="AR11" i="3" s="1"/>
  <c r="AU11" i="3" s="1"/>
  <c r="Q11" i="3"/>
  <c r="BY10" i="3"/>
  <c r="CA10" i="3" s="1"/>
  <c r="CC10" i="3" s="1"/>
  <c r="AP10" i="3"/>
  <c r="AG10" i="3"/>
  <c r="AD10" i="3"/>
  <c r="X10" i="3"/>
  <c r="Q10" i="3"/>
  <c r="S10" i="3" s="1"/>
  <c r="AQ10" i="3" s="1"/>
  <c r="AR10" i="3" s="1"/>
  <c r="CA9" i="3"/>
  <c r="CC9" i="3" s="1"/>
  <c r="BY9" i="3"/>
  <c r="AP9" i="3"/>
  <c r="AJ9" i="3"/>
  <c r="AG9" i="3"/>
  <c r="AD9" i="3"/>
  <c r="X9" i="3"/>
  <c r="Q9" i="3"/>
  <c r="S9" i="3" s="1"/>
  <c r="AQ9" i="3" s="1"/>
  <c r="AR9" i="3" s="1"/>
  <c r="H9" i="3"/>
  <c r="H3" i="3" s="1"/>
  <c r="BY8" i="3"/>
  <c r="CA8" i="3" s="1"/>
  <c r="CC8" i="3" s="1"/>
  <c r="AT8" i="3"/>
  <c r="AP8" i="3"/>
  <c r="AG8" i="3"/>
  <c r="AD8" i="3"/>
  <c r="AQ8" i="3" s="1"/>
  <c r="AR8" i="3" s="1"/>
  <c r="X8" i="3"/>
  <c r="S8" i="3"/>
  <c r="Q8" i="3"/>
  <c r="H8" i="3"/>
  <c r="CA7" i="3"/>
  <c r="CC7" i="3" s="1"/>
  <c r="BY7" i="3"/>
  <c r="AT7" i="3"/>
  <c r="AP7" i="3"/>
  <c r="AM7" i="3"/>
  <c r="AM3" i="3" s="1"/>
  <c r="AG7" i="3"/>
  <c r="AD7" i="3"/>
  <c r="X7" i="3"/>
  <c r="S7" i="3"/>
  <c r="AQ7" i="3" s="1"/>
  <c r="AR7" i="3" s="1"/>
  <c r="Q7" i="3"/>
  <c r="BY6" i="3"/>
  <c r="CA6" i="3" s="1"/>
  <c r="CC6" i="3" s="1"/>
  <c r="AP6" i="3"/>
  <c r="AG6" i="3"/>
  <c r="AD6" i="3"/>
  <c r="X6" i="3"/>
  <c r="X3" i="3" s="1"/>
  <c r="Q6" i="3"/>
  <c r="Q3" i="3" s="1"/>
  <c r="AT5" i="3"/>
  <c r="AP5" i="3"/>
  <c r="AP3" i="3" s="1"/>
  <c r="AG5" i="3"/>
  <c r="AG3" i="3" s="1"/>
  <c r="AD5" i="3"/>
  <c r="AD3" i="3" s="1"/>
  <c r="X5" i="3"/>
  <c r="S5" i="3"/>
  <c r="Q5" i="3"/>
  <c r="AX4" i="3"/>
  <c r="AW4" i="3"/>
  <c r="AS4" i="3"/>
  <c r="C4" i="3"/>
  <c r="BM3" i="3"/>
  <c r="BL3" i="3"/>
  <c r="BK3" i="3"/>
  <c r="BJ3" i="3"/>
  <c r="BI3" i="3"/>
  <c r="BE3" i="3"/>
  <c r="BD3" i="3"/>
  <c r="BC3" i="3"/>
  <c r="BA3" i="3"/>
  <c r="AZ3" i="3"/>
  <c r="AY3" i="3"/>
  <c r="AO3" i="3"/>
  <c r="AN3" i="3"/>
  <c r="AL3" i="3"/>
  <c r="AK3" i="3"/>
  <c r="AJ3" i="3"/>
  <c r="AI3" i="3"/>
  <c r="AH3" i="3"/>
  <c r="AF3" i="3"/>
  <c r="AE3" i="3"/>
  <c r="AC3" i="3"/>
  <c r="AB3" i="3"/>
  <c r="Z3" i="3"/>
  <c r="Y3" i="3"/>
  <c r="W3" i="3"/>
  <c r="V3" i="3"/>
  <c r="U3" i="3"/>
  <c r="T3" i="3"/>
  <c r="R3" i="3"/>
  <c r="P3" i="3"/>
  <c r="O3" i="3"/>
  <c r="N3" i="3"/>
  <c r="M3" i="3"/>
  <c r="L3" i="3"/>
  <c r="I3" i="3"/>
  <c r="G3" i="3"/>
  <c r="F3" i="3"/>
  <c r="E35" i="2"/>
  <c r="E4" i="2"/>
  <c r="E6" i="2"/>
  <c r="AV43" i="3" l="1"/>
  <c r="AU43" i="3"/>
  <c r="AV101" i="3"/>
  <c r="AU101" i="3"/>
  <c r="AV52" i="3"/>
  <c r="AU52" i="3"/>
  <c r="AV93" i="3"/>
  <c r="AU93" i="3"/>
  <c r="AV104" i="3"/>
  <c r="AU104" i="3"/>
  <c r="AV109" i="3"/>
  <c r="AU109" i="3"/>
  <c r="AV14" i="3"/>
  <c r="AV32" i="3"/>
  <c r="AU32" i="3"/>
  <c r="AU49" i="3"/>
  <c r="AV49" i="3"/>
  <c r="AV122" i="3"/>
  <c r="AU122" i="3"/>
  <c r="AV17" i="3"/>
  <c r="AU17" i="3"/>
  <c r="AU56" i="3"/>
  <c r="AV56" i="3"/>
  <c r="AV79" i="3"/>
  <c r="AU79" i="3"/>
  <c r="AV86" i="3"/>
  <c r="AU86" i="3"/>
  <c r="AV96" i="3"/>
  <c r="AU96" i="3"/>
  <c r="AV100" i="3"/>
  <c r="AU100" i="3"/>
  <c r="AV115" i="3"/>
  <c r="AU115" i="3"/>
  <c r="AU128" i="3"/>
  <c r="AV128" i="3"/>
  <c r="AV144" i="3"/>
  <c r="AU144" i="3"/>
  <c r="AV45" i="3"/>
  <c r="AU45" i="3"/>
  <c r="AV89" i="3"/>
  <c r="AU89" i="3"/>
  <c r="AV137" i="3"/>
  <c r="AU137" i="3"/>
  <c r="AV141" i="3"/>
  <c r="AU141" i="3"/>
  <c r="AV8" i="3"/>
  <c r="AU8" i="3"/>
  <c r="AV16" i="3"/>
  <c r="AU16" i="3"/>
  <c r="AV42" i="3"/>
  <c r="AU42" i="3"/>
  <c r="AV132" i="3"/>
  <c r="AU132" i="3"/>
  <c r="AV53" i="3"/>
  <c r="AU53" i="3"/>
  <c r="AV105" i="3"/>
  <c r="AU105" i="3"/>
  <c r="AV25" i="3"/>
  <c r="AU25" i="3"/>
  <c r="AV57" i="3"/>
  <c r="AU57" i="3"/>
  <c r="AU7" i="3"/>
  <c r="AV7" i="3"/>
  <c r="AV11" i="3"/>
  <c r="AU31" i="3"/>
  <c r="AV31" i="3"/>
  <c r="AV44" i="3"/>
  <c r="AU44" i="3"/>
  <c r="AU67" i="3"/>
  <c r="AV67" i="3"/>
  <c r="AV103" i="3"/>
  <c r="AU103" i="3"/>
  <c r="AV12" i="3"/>
  <c r="AU12" i="3"/>
  <c r="AV28" i="3"/>
  <c r="AU28" i="3"/>
  <c r="AU36" i="3"/>
  <c r="AV36" i="3"/>
  <c r="AV46" i="3"/>
  <c r="AU46" i="3"/>
  <c r="AV54" i="3"/>
  <c r="AU54" i="3"/>
  <c r="AV70" i="3"/>
  <c r="AU70" i="3"/>
  <c r="AU88" i="3"/>
  <c r="AV88" i="3"/>
  <c r="AV106" i="3"/>
  <c r="AU106" i="3"/>
  <c r="AV120" i="3"/>
  <c r="AU120" i="3"/>
  <c r="AU140" i="3"/>
  <c r="AV140" i="3"/>
  <c r="AU13" i="3"/>
  <c r="AV13" i="3"/>
  <c r="AV27" i="3"/>
  <c r="AU27" i="3"/>
  <c r="AV30" i="3"/>
  <c r="AU30" i="3"/>
  <c r="AV34" i="3"/>
  <c r="AU34" i="3"/>
  <c r="AV58" i="3"/>
  <c r="AU58" i="3"/>
  <c r="AV69" i="3"/>
  <c r="AU69" i="3"/>
  <c r="AV85" i="3"/>
  <c r="AU85" i="3"/>
  <c r="AV92" i="3"/>
  <c r="AU92" i="3"/>
  <c r="AV99" i="3"/>
  <c r="AU99" i="3"/>
  <c r="AV112" i="3"/>
  <c r="AU112" i="3"/>
  <c r="AV125" i="3"/>
  <c r="AU125" i="3"/>
  <c r="AV23" i="3"/>
  <c r="AU23" i="3"/>
  <c r="AV9" i="3"/>
  <c r="AU9" i="3"/>
  <c r="AV10" i="3"/>
  <c r="AU10" i="3"/>
  <c r="AV26" i="3"/>
  <c r="AU26" i="3"/>
  <c r="AV33" i="3"/>
  <c r="AU33" i="3"/>
  <c r="AV37" i="3"/>
  <c r="AU37" i="3"/>
  <c r="AV50" i="3"/>
  <c r="AU50" i="3"/>
  <c r="AV61" i="3"/>
  <c r="AU61" i="3"/>
  <c r="AV63" i="3"/>
  <c r="AU63" i="3"/>
  <c r="AV97" i="3"/>
  <c r="AU97" i="3"/>
  <c r="AV108" i="3"/>
  <c r="AU108" i="3"/>
  <c r="AV129" i="3"/>
  <c r="AU129" i="3"/>
  <c r="AV133" i="3"/>
  <c r="AU133" i="3"/>
  <c r="AU143" i="3"/>
  <c r="AV143" i="3"/>
  <c r="AV38" i="3"/>
  <c r="AU38" i="3"/>
  <c r="AV94" i="3"/>
  <c r="AU94" i="3"/>
  <c r="S6" i="3"/>
  <c r="AQ39" i="3"/>
  <c r="AR39" i="3" s="1"/>
  <c r="AV62" i="3"/>
  <c r="AQ80" i="3"/>
  <c r="AR80" i="3" s="1"/>
  <c r="AQ83" i="3"/>
  <c r="AR83" i="3" s="1"/>
  <c r="AQ91" i="3"/>
  <c r="AR91" i="3" s="1"/>
  <c r="AU114" i="3"/>
  <c r="AV116" i="3"/>
  <c r="AU124" i="3"/>
  <c r="AV126" i="3"/>
  <c r="AQ131" i="3"/>
  <c r="AR131" i="3" s="1"/>
  <c r="AQ134" i="3"/>
  <c r="AR134" i="3" s="1"/>
  <c r="AV118" i="3"/>
  <c r="AU118" i="3"/>
  <c r="AQ71" i="3"/>
  <c r="AR71" i="3" s="1"/>
  <c r="AV98" i="3"/>
  <c r="AU98" i="3"/>
  <c r="AQ110" i="3"/>
  <c r="AR110" i="3" s="1"/>
  <c r="AV113" i="3"/>
  <c r="AU113" i="3"/>
  <c r="AV123" i="3"/>
  <c r="AU123" i="3"/>
  <c r="AQ35" i="3"/>
  <c r="AR35" i="3" s="1"/>
  <c r="AQ64" i="3"/>
  <c r="AR64" i="3" s="1"/>
  <c r="AQ65" i="3"/>
  <c r="AR65" i="3" s="1"/>
  <c r="AU82" i="3"/>
  <c r="AU136" i="3"/>
  <c r="AV121" i="3"/>
  <c r="AU121" i="3"/>
  <c r="AQ5" i="3"/>
  <c r="AQ68" i="3"/>
  <c r="AR68" i="3" s="1"/>
  <c r="AQ76" i="3"/>
  <c r="AR76" i="3" s="1"/>
  <c r="AV90" i="3"/>
  <c r="AU90" i="3"/>
  <c r="BF3" i="3"/>
  <c r="AQ22" i="3"/>
  <c r="AR22" i="3" s="1"/>
  <c r="AQ24" i="3"/>
  <c r="AR24" i="3" s="1"/>
  <c r="AQ41" i="3"/>
  <c r="AR41" i="3" s="1"/>
  <c r="AQ47" i="3"/>
  <c r="AR47" i="3" s="1"/>
  <c r="AV59" i="3"/>
  <c r="AU84" i="3"/>
  <c r="AQ87" i="3"/>
  <c r="AR87" i="3" s="1"/>
  <c r="AU102" i="3"/>
  <c r="AQ139" i="3"/>
  <c r="AR139" i="3" s="1"/>
  <c r="AQ72" i="3"/>
  <c r="AR72" i="3" s="1"/>
  <c r="AV130" i="3"/>
  <c r="AU130" i="3"/>
  <c r="AQ21" i="3"/>
  <c r="AR21" i="3" s="1"/>
  <c r="AQ29" i="3"/>
  <c r="AR29" i="3" s="1"/>
  <c r="AV55" i="3"/>
  <c r="AQ73" i="3"/>
  <c r="AR73" i="3" s="1"/>
  <c r="AQ77" i="3"/>
  <c r="AR77" i="3" s="1"/>
  <c r="AQ78" i="3"/>
  <c r="AR78" i="3" s="1"/>
  <c r="AQ107" i="3"/>
  <c r="AR107" i="3" s="1"/>
  <c r="AV142" i="3"/>
  <c r="AU142" i="3"/>
  <c r="AQ75" i="3"/>
  <c r="AR75" i="3" s="1"/>
  <c r="AQ15" i="3"/>
  <c r="AR15" i="3" s="1"/>
  <c r="AU15" i="3" s="1"/>
  <c r="AQ20" i="3"/>
  <c r="AR20" i="3" s="1"/>
  <c r="AQ40" i="3"/>
  <c r="AR40" i="3" s="1"/>
  <c r="AU48" i="3"/>
  <c r="AQ51" i="3"/>
  <c r="AR51" i="3" s="1"/>
  <c r="AQ60" i="3"/>
  <c r="AR60" i="3" s="1"/>
  <c r="AQ66" i="3"/>
  <c r="AR66" i="3" s="1"/>
  <c r="AQ74" i="3"/>
  <c r="AR74" i="3" s="1"/>
  <c r="AQ81" i="3"/>
  <c r="AR81" i="3" s="1"/>
  <c r="AQ117" i="3"/>
  <c r="AR117" i="3" s="1"/>
  <c r="AQ119" i="3"/>
  <c r="AR119" i="3" s="1"/>
  <c r="AQ135" i="3"/>
  <c r="AR135" i="3" s="1"/>
  <c r="AQ138" i="3"/>
  <c r="AR138" i="3" s="1"/>
  <c r="E56" i="2"/>
  <c r="E5" i="2"/>
  <c r="AV22" i="3" l="1"/>
  <c r="AU22" i="3"/>
  <c r="AV117" i="3"/>
  <c r="AU117" i="3"/>
  <c r="AU81" i="3"/>
  <c r="AV81" i="3"/>
  <c r="AV87" i="3"/>
  <c r="AU87" i="3"/>
  <c r="AU131" i="3"/>
  <c r="AV131" i="3"/>
  <c r="AU74" i="3"/>
  <c r="AV74" i="3"/>
  <c r="AU75" i="3"/>
  <c r="AV75" i="3"/>
  <c r="AV29" i="3"/>
  <c r="AU29" i="3"/>
  <c r="AV65" i="3"/>
  <c r="AU65" i="3"/>
  <c r="AV110" i="3"/>
  <c r="AU110" i="3"/>
  <c r="AU39" i="3"/>
  <c r="AV39" i="3"/>
  <c r="AV77" i="3"/>
  <c r="AU77" i="3"/>
  <c r="AU73" i="3"/>
  <c r="AV73" i="3"/>
  <c r="AV80" i="3"/>
  <c r="AU80" i="3"/>
  <c r="AV21" i="3"/>
  <c r="AU21" i="3"/>
  <c r="AV40" i="3"/>
  <c r="AU40" i="3"/>
  <c r="AV83" i="3"/>
  <c r="AU83" i="3"/>
  <c r="AV20" i="3"/>
  <c r="AU20" i="3"/>
  <c r="AU76" i="3"/>
  <c r="AV76" i="3"/>
  <c r="AV68" i="3"/>
  <c r="AU68" i="3"/>
  <c r="AU139" i="3"/>
  <c r="AV139" i="3"/>
  <c r="AV134" i="3"/>
  <c r="AU134" i="3"/>
  <c r="AU66" i="3"/>
  <c r="AV66" i="3"/>
  <c r="AU64" i="3"/>
  <c r="AV64" i="3"/>
  <c r="S3" i="3"/>
  <c r="AQ6" i="3"/>
  <c r="AR6" i="3" s="1"/>
  <c r="AU60" i="3"/>
  <c r="AV60" i="3"/>
  <c r="AU47" i="3"/>
  <c r="AV47" i="3"/>
  <c r="AV35" i="3"/>
  <c r="AU35" i="3"/>
  <c r="AV138" i="3"/>
  <c r="AU138" i="3"/>
  <c r="AV51" i="3"/>
  <c r="AU51" i="3"/>
  <c r="AV107" i="3"/>
  <c r="AU107" i="3"/>
  <c r="AU41" i="3"/>
  <c r="AV41" i="3"/>
  <c r="AQ4" i="3"/>
  <c r="AR5" i="3"/>
  <c r="AV15" i="3"/>
  <c r="AU71" i="3"/>
  <c r="AV71" i="3"/>
  <c r="AV119" i="3"/>
  <c r="AU119" i="3"/>
  <c r="AU135" i="3"/>
  <c r="AV135" i="3"/>
  <c r="AV78" i="3"/>
  <c r="AU78" i="3"/>
  <c r="AU72" i="3"/>
  <c r="AV72" i="3"/>
  <c r="AU24" i="3"/>
  <c r="AV24" i="3"/>
  <c r="AU91" i="3"/>
  <c r="AV91" i="3"/>
  <c r="E32" i="2"/>
  <c r="E20" i="2"/>
  <c r="E19" i="2"/>
  <c r="E17" i="2"/>
  <c r="E16" i="2"/>
  <c r="E14" i="2"/>
  <c r="E13" i="2"/>
  <c r="E12" i="2"/>
  <c r="E11" i="2"/>
  <c r="AV5" i="3" l="1"/>
  <c r="AR4" i="3"/>
  <c r="AV4" i="3" s="1"/>
  <c r="AU5" i="3"/>
  <c r="AV6" i="3"/>
  <c r="AU6" i="3"/>
  <c r="F2" i="2"/>
  <c r="E2" i="2"/>
  <c r="G2" i="2" s="1"/>
  <c r="E2" i="1"/>
  <c r="T4" i="2" l="1"/>
  <c r="T6" i="2" s="1"/>
  <c r="L4" i="2"/>
  <c r="S4" i="2"/>
  <c r="S6" i="2" s="1"/>
  <c r="R4" i="2"/>
  <c r="R6" i="2" s="1"/>
  <c r="Q4" i="2"/>
  <c r="Q6" i="2" s="1"/>
  <c r="P4" i="2"/>
  <c r="P6" i="2" s="1"/>
  <c r="O4" i="2"/>
  <c r="O6" i="2" s="1"/>
  <c r="M4" i="2"/>
  <c r="M6" i="2" s="1"/>
  <c r="N4" i="2"/>
  <c r="N6" i="2"/>
  <c r="L6" i="2" l="1"/>
  <c r="U6" i="2" s="1"/>
  <c r="U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E4" authorId="0" shapeId="0" xr:uid="{956D4869-5555-407D-9A0F-17475C343FAC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Tính tiền từ 10/1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C68" authorId="0" shapeId="0" xr:uid="{42D616B0-0A8D-4629-BA0A-F4F452626CAF}">
      <text>
        <r>
          <rPr>
            <sz val="11"/>
            <color theme="1"/>
            <rFont val="Calibri"/>
            <family val="2"/>
            <scheme val="minor"/>
          </rPr>
          <t>cộng 2 khối nước phòng trồng
======</t>
        </r>
      </text>
    </comment>
  </commentList>
</comments>
</file>

<file path=xl/sharedStrings.xml><?xml version="1.0" encoding="utf-8"?>
<sst xmlns="http://schemas.openxmlformats.org/spreadsheetml/2006/main" count="1673" uniqueCount="312">
  <si>
    <t>Thu Chi từ 1/10/2025 đến ngày 30/11/2025</t>
  </si>
  <si>
    <t>TỔNG</t>
  </si>
  <si>
    <t>Tài khoản</t>
  </si>
  <si>
    <t>STT</t>
  </si>
  <si>
    <t>Ngày</t>
  </si>
  <si>
    <t>Diễn giải</t>
  </si>
  <si>
    <t>CHI</t>
  </si>
  <si>
    <t>Thu- Chi</t>
  </si>
  <si>
    <t>Tòa</t>
  </si>
  <si>
    <t>Phòng</t>
  </si>
  <si>
    <t>Thu</t>
  </si>
  <si>
    <t>Thu-Chi</t>
  </si>
  <si>
    <t>Toà</t>
  </si>
  <si>
    <t>Lâm 10%</t>
  </si>
  <si>
    <t xml:space="preserve">Tiền nhà tháng </t>
  </si>
  <si>
    <t>Tiền cọc</t>
  </si>
  <si>
    <t>Đã đóng</t>
  </si>
  <si>
    <t>Phí môi giới</t>
  </si>
  <si>
    <t>Thực nhận</t>
  </si>
  <si>
    <t xml:space="preserve">Điện </t>
  </si>
  <si>
    <t>Nước</t>
  </si>
  <si>
    <t>Lương quản lý</t>
  </si>
  <si>
    <t>Lương quản lý tổng</t>
  </si>
  <si>
    <t>Lương TPVH</t>
  </si>
  <si>
    <t>Lương phó phòng vận hành</t>
  </si>
  <si>
    <t>Lương NVKD</t>
  </si>
  <si>
    <t>Lương vệ sinh</t>
  </si>
  <si>
    <t>Lương kế toán</t>
  </si>
  <si>
    <t>Lương sửa chữa</t>
  </si>
  <si>
    <t>Lương bảo vệ</t>
  </si>
  <si>
    <t>Thuê và dv vp</t>
  </si>
  <si>
    <t>Phí marketing</t>
  </si>
  <si>
    <t>Lương hỗ trợ quản lý</t>
  </si>
  <si>
    <t>Công mở mới kĩ thuật</t>
  </si>
  <si>
    <t>Thu Chi từ 1/1/2026 đến ngày 31/1/2026</t>
  </si>
  <si>
    <t>TÒA G1</t>
  </si>
  <si>
    <t>chía CP G1</t>
  </si>
  <si>
    <t>101G1</t>
  </si>
  <si>
    <t>201G1</t>
  </si>
  <si>
    <t>202G1</t>
  </si>
  <si>
    <t>203G1</t>
  </si>
  <si>
    <t>301G1</t>
  </si>
  <si>
    <t>302G1</t>
  </si>
  <si>
    <t>303G1</t>
  </si>
  <si>
    <t>304G1</t>
  </si>
  <si>
    <t>401G1</t>
  </si>
  <si>
    <t>402G1</t>
  </si>
  <si>
    <t>403G1</t>
  </si>
  <si>
    <t>404G1</t>
  </si>
  <si>
    <t>601G1</t>
  </si>
  <si>
    <t>603G1</t>
  </si>
  <si>
    <t>604G1</t>
  </si>
  <si>
    <t>HH 101G1</t>
  </si>
  <si>
    <t>HH 201G1</t>
  </si>
  <si>
    <t>HH 202G1</t>
  </si>
  <si>
    <t>HH 203G1</t>
  </si>
  <si>
    <t>HH 301G1</t>
  </si>
  <si>
    <t>HH 302G1</t>
  </si>
  <si>
    <t>HH 303G1</t>
  </si>
  <si>
    <t>HH 304G1</t>
  </si>
  <si>
    <t>HH 401G1</t>
  </si>
  <si>
    <t>HH 402G1</t>
  </si>
  <si>
    <t>HH 403G1</t>
  </si>
  <si>
    <t>HH 404G1</t>
  </si>
  <si>
    <t>HH 601G1</t>
  </si>
  <si>
    <t>HH 603G1</t>
  </si>
  <si>
    <t>HH 604G1</t>
  </si>
  <si>
    <t>vật tư lắp máy giặt sân thượng</t>
  </si>
  <si>
    <t>lắp máy bơm áp sân thượng</t>
  </si>
  <si>
    <t>lắp át nhà vệ sinh chung tầng 6</t>
  </si>
  <si>
    <t xml:space="preserve">mạng 6th </t>
  </si>
  <si>
    <t>điều hòa và vật tư lắp tầng 6</t>
  </si>
  <si>
    <t>2 chan giac cam dau nong lanh tang 6 G1</t>
  </si>
  <si>
    <t>Phí ship cây décor</t>
  </si>
  <si>
    <t>chổi lau</t>
  </si>
  <si>
    <t>móc treo tranh</t>
  </si>
  <si>
    <t>thạch cao ngăn phòng tầng 6</t>
  </si>
  <si>
    <t>15 model</t>
  </si>
  <si>
    <t>2 tủ lạnh aqua</t>
  </si>
  <si>
    <t>rèm G1</t>
  </si>
  <si>
    <t xml:space="preserve">tủ bếp trên </t>
  </si>
  <si>
    <t>1 máy giặt aqua 8kg</t>
  </si>
  <si>
    <t>đồng hồ điện tầng 6</t>
  </si>
  <si>
    <t>1 bộ giường tủ P604</t>
  </si>
  <si>
    <t>thùng rác 120L</t>
  </si>
  <si>
    <t>bàn phấn</t>
  </si>
  <si>
    <t>bảng biển</t>
  </si>
  <si>
    <t xml:space="preserve"> </t>
  </si>
  <si>
    <t>Mã</t>
  </si>
  <si>
    <t>Quản lý</t>
  </si>
  <si>
    <t>Kỳ TT</t>
  </si>
  <si>
    <t>Giá Niêm yết</t>
  </si>
  <si>
    <t>Giá QL</t>
  </si>
  <si>
    <t>Gía phòng hiện tại</t>
  </si>
  <si>
    <t>CỌC</t>
  </si>
  <si>
    <t>Ngày ở</t>
  </si>
  <si>
    <t>Ngày DV</t>
  </si>
  <si>
    <t>Nợ Cũ</t>
  </si>
  <si>
    <t>Thu khác</t>
  </si>
  <si>
    <t>Số người</t>
  </si>
  <si>
    <t>Điện</t>
  </si>
  <si>
    <t>VỆ SINH</t>
  </si>
  <si>
    <t>MẠNG</t>
  </si>
  <si>
    <t>THANG MÁY</t>
  </si>
  <si>
    <t>XE ĐIỆN</t>
  </si>
  <si>
    <t>Máy giặt</t>
  </si>
  <si>
    <t>DV khác</t>
  </si>
  <si>
    <t>Tổng DV</t>
  </si>
  <si>
    <t>Tổng cần đóng</t>
  </si>
  <si>
    <t>Ghi Chú Hóa đơn</t>
  </si>
  <si>
    <t>Tổng đã đóng</t>
  </si>
  <si>
    <t>Tình trạng</t>
  </si>
  <si>
    <t xml:space="preserve">CÔNG NỢ </t>
  </si>
  <si>
    <t>ĐIỆN PHÁ HĐ THU ĐƯỢC</t>
  </si>
  <si>
    <t>NƯỚC PHÁ HĐ THU ĐƯỢC</t>
  </si>
  <si>
    <t>ĐIỆN PHÒNG TRỐNG</t>
  </si>
  <si>
    <t>ĐIỆN PHÒNG HẾT HĐ</t>
  </si>
  <si>
    <t>NƯỚC PHÒNG HẾT HĐ</t>
  </si>
  <si>
    <t>Khách mới tháng 7</t>
  </si>
  <si>
    <t>Hoàn cọc khách hết HĐ</t>
  </si>
  <si>
    <t>Điện vệ sinh chung</t>
  </si>
  <si>
    <t>CS cu</t>
  </si>
  <si>
    <t>Cs moi</t>
  </si>
  <si>
    <t>SL</t>
  </si>
  <si>
    <t>Đơn giá</t>
  </si>
  <si>
    <t>Thành tiền</t>
  </si>
  <si>
    <t>CS moi</t>
  </si>
  <si>
    <t>CS CŨ</t>
  </si>
  <si>
    <t>CS MỚI</t>
  </si>
  <si>
    <t>SỐ LƯỢNG</t>
  </si>
  <si>
    <t>ĐƠN GIÁ</t>
  </si>
  <si>
    <t>THÀNH TIỀN</t>
  </si>
  <si>
    <t>CS MÓI</t>
  </si>
  <si>
    <t>Cọc</t>
  </si>
  <si>
    <t>ND và ngày ck</t>
  </si>
  <si>
    <t>Tiền nhà</t>
  </si>
  <si>
    <t>GHI CHÚ</t>
  </si>
  <si>
    <t>Khấu Hao</t>
  </si>
  <si>
    <t>Vệ sinh</t>
  </si>
  <si>
    <t>Sửa chữa</t>
  </si>
  <si>
    <t>CS cũ</t>
  </si>
  <si>
    <t>CS mới</t>
  </si>
  <si>
    <t>số người sử dụng</t>
  </si>
  <si>
    <t>số tiền mỗi người phải đóng</t>
  </si>
  <si>
    <t>G1</t>
  </si>
  <si>
    <t>Đỗ Thanh Hương</t>
  </si>
  <si>
    <t>kh mới 1/1 chốt giá 3tr6</t>
  </si>
  <si>
    <t>trống</t>
  </si>
  <si>
    <t>kh mới 1/1 chốt giá 3tr8</t>
  </si>
  <si>
    <t>kh mới 19/1 chốt giá 3tr8</t>
  </si>
  <si>
    <t>kh mo 17/1 chot gia 3tr9</t>
  </si>
  <si>
    <t>kh mới 1/1 chốt giá 4tr, 500k tiền mặt 30/12</t>
  </si>
  <si>
    <t>kh mới 1/1 chốt giá 4tr1</t>
  </si>
  <si>
    <t>kh mới 11.1 chốt giá 3tr9</t>
  </si>
  <si>
    <t>kh mới 1/1 chốt giá 3tr9</t>
  </si>
  <si>
    <t>kh moi 19/1 chot gia 3tr9</t>
  </si>
  <si>
    <t>kh mới 5/1 chốt giá 3tr9</t>
  </si>
  <si>
    <t>kh mới 8.1 chốt giá3tr8</t>
  </si>
  <si>
    <t>kh mới 1/1 chốt giá 3tr</t>
  </si>
  <si>
    <t>kh mới 1/1 chốt giá 3tr5</t>
  </si>
  <si>
    <t>CHỐT GIÁ 4TR6. 16/7 TÍNH TIỀN, dv 1 người</t>
  </si>
  <si>
    <t>chốt giá 3tr, 1/7 tính tiền</t>
  </si>
  <si>
    <t>Chốt giá 3tr5, 20/7 tính tiền</t>
  </si>
  <si>
    <t>T1</t>
  </si>
  <si>
    <t>Thu hóa đơn tháng 1</t>
  </si>
  <si>
    <t>Chung 10%</t>
  </si>
  <si>
    <t>Hằng 20%</t>
  </si>
  <si>
    <t>Tùng 15%</t>
  </si>
  <si>
    <t>Ngọc 5%</t>
  </si>
  <si>
    <t>Mạnh 15%</t>
  </si>
  <si>
    <t>Hào 10%</t>
  </si>
  <si>
    <t>A điệp 5%</t>
  </si>
  <si>
    <t>Huy anh 10%</t>
  </si>
  <si>
    <t>DT TRÊN HĐ - HOÀN CỌC</t>
  </si>
  <si>
    <t>Tỷ lệ %</t>
  </si>
  <si>
    <t>Vốn</t>
  </si>
  <si>
    <t>LN Gộp</t>
  </si>
  <si>
    <t>LN ròng</t>
  </si>
  <si>
    <t>LNR/GV</t>
  </si>
  <si>
    <t>CP/LNG</t>
  </si>
  <si>
    <t>Tổng nhận</t>
  </si>
  <si>
    <t>Cọc phòng mới</t>
  </si>
  <si>
    <t xml:space="preserve">CHUNG </t>
  </si>
  <si>
    <t xml:space="preserve">HẰNG </t>
  </si>
  <si>
    <t>HÀO</t>
  </si>
  <si>
    <t>Cọc khách bỏ không ở</t>
  </si>
  <si>
    <t>Hoàn Cọc</t>
  </si>
  <si>
    <t>Tổng số phòng phá hđ</t>
  </si>
  <si>
    <t>Tổng số phòng mới</t>
  </si>
  <si>
    <t>Tổng số phòng trống</t>
  </si>
  <si>
    <t>Doanh thu tiền phòng</t>
  </si>
  <si>
    <t>Doanh thu điện</t>
  </si>
  <si>
    <t>Doanh thu nước</t>
  </si>
  <si>
    <t>Doanh thu phí vệ sinh</t>
  </si>
  <si>
    <t>Doanh thu mạng</t>
  </si>
  <si>
    <t>Doanh thu xe điện</t>
  </si>
  <si>
    <t>Doanh thu phí thang máy</t>
  </si>
  <si>
    <t>Doanh thu máy giặt</t>
  </si>
  <si>
    <t>Doanh thu tổng dịch vụ nhà</t>
  </si>
  <si>
    <t>Tiền thuê nhà 1 tháng</t>
  </si>
  <si>
    <t xml:space="preserve">Tiền thuê nhà </t>
  </si>
  <si>
    <t>Mua sắm thêm thiết bị</t>
  </si>
  <si>
    <t>Gía gốc dịch vụ</t>
  </si>
  <si>
    <t xml:space="preserve">Mạng </t>
  </si>
  <si>
    <t>Phí thu rác</t>
  </si>
  <si>
    <t>Phí môi trường</t>
  </si>
  <si>
    <t>Phí bảo trì thang máy</t>
  </si>
  <si>
    <t>Gía vốn( GV)</t>
  </si>
  <si>
    <t>Chi phí vận hành</t>
  </si>
  <si>
    <t>Lương trưởng phòng vận hành</t>
  </si>
  <si>
    <t>Lương NVKD partime</t>
  </si>
  <si>
    <t>Thuê và dv VP</t>
  </si>
  <si>
    <t>Chi phí bán hàng phát sinh</t>
  </si>
  <si>
    <t>Sửa chữa ,thay thế,bảo trì</t>
  </si>
  <si>
    <t>chi phí khác</t>
  </si>
  <si>
    <t>Tổng chi phí bán hàng (CPBH)</t>
  </si>
  <si>
    <t>TỔNG CHI PHÍ (TCP)</t>
  </si>
  <si>
    <t>Lợi nhuận gộp (LNG)</t>
  </si>
  <si>
    <t>DT-GV</t>
  </si>
  <si>
    <t>Lợi nhuận ròng (LNR)</t>
  </si>
  <si>
    <t>DT-TCP</t>
  </si>
  <si>
    <t>Tỷ lệ LNR /DT</t>
  </si>
  <si>
    <t>Tỷ lệ LNG /DT</t>
  </si>
  <si>
    <t>Tỷ lệ LNR /GV</t>
  </si>
  <si>
    <t>Tỷ lệ LNR/LNG</t>
  </si>
  <si>
    <t>GV/DT</t>
  </si>
  <si>
    <t>CPBH/DT</t>
  </si>
  <si>
    <t>TCP/DT</t>
  </si>
  <si>
    <t>LƯƠNG/CPBH</t>
  </si>
  <si>
    <t>HH/CPBH</t>
  </si>
  <si>
    <t>CPK/CPBH</t>
  </si>
  <si>
    <t>Cọc khách cũ</t>
  </si>
  <si>
    <t>Nợ cũ</t>
  </si>
  <si>
    <t>Điện chung</t>
  </si>
  <si>
    <t>Tổng đã đóng link</t>
  </si>
  <si>
    <t>Công nợ KH</t>
  </si>
  <si>
    <t>(thiếu ghi âm)</t>
  </si>
  <si>
    <t>+</t>
  </si>
  <si>
    <t>ĐỖ THANH HƯƠNG</t>
  </si>
  <si>
    <t>BẢNG CHIA CỔ PHẦN G1</t>
  </si>
  <si>
    <t>TÙNG</t>
  </si>
  <si>
    <t>NGỌC</t>
  </si>
  <si>
    <t>MẠNH</t>
  </si>
  <si>
    <t>A ĐIỆP</t>
  </si>
  <si>
    <t xml:space="preserve">LÂM </t>
  </si>
  <si>
    <t>HUY ANH</t>
  </si>
  <si>
    <t>BÁO CÁO KINH DOANH G1 THÁNG 2/2026</t>
  </si>
  <si>
    <t>Tổng doanh thu tháng 2</t>
  </si>
  <si>
    <t>000G1</t>
  </si>
  <si>
    <t>thanh toán chủ nhà 300k tiền nước</t>
  </si>
  <si>
    <t>kh phá hd</t>
  </si>
  <si>
    <t>Kh mới 1/2 chốt giá 4tr1</t>
  </si>
  <si>
    <t>P201</t>
  </si>
  <si>
    <t>sửa rò nước máy bơm</t>
  </si>
  <si>
    <t>đi đường mạng vào các phòng</t>
  </si>
  <si>
    <t>Lương nhân viên nguồn</t>
  </si>
  <si>
    <t>kh mới 1/3 chốt giá 3tr5</t>
  </si>
  <si>
    <t>BÁO CÁO KINH DOANH G1 THÁNG 3/2026</t>
  </si>
  <si>
    <t>Tổng doanh thu tháng 3</t>
  </si>
  <si>
    <t>P101</t>
  </si>
  <si>
    <t>Thông tắc nvs, bệt P404</t>
  </si>
  <si>
    <t>thay phao điện</t>
  </si>
  <si>
    <t>Đi ống thoát chậu rửa P601</t>
  </si>
  <si>
    <t>Thay bóng tuýp p201, 1 lọ thông tắc + 2 ngăn mùi thoát sànp404,601</t>
  </si>
  <si>
    <t>thưởng dẫn chốt P101</t>
  </si>
  <si>
    <t>cho nợ cũ</t>
  </si>
  <si>
    <t>kh phá hd, kh mới 15/4 chốt giá 3tr8</t>
  </si>
  <si>
    <t>BÁO CÁO KINH DOANH G1 THÁNG 4/2026</t>
  </si>
  <si>
    <t>Tổng doanh thu tháng 4</t>
  </si>
  <si>
    <t>P302</t>
  </si>
  <si>
    <t>dọn phòng 302</t>
  </si>
  <si>
    <t>đi lại đường nước máy giặt</t>
  </si>
  <si>
    <t>kẻ vạch nhà xe</t>
  </si>
  <si>
    <t>tủ lạnh P302</t>
  </si>
  <si>
    <t>mua thùng rác và túi rác</t>
  </si>
  <si>
    <t>BÁO CÁO KINH DOANH G1 THÁNG 452026</t>
  </si>
  <si>
    <t>Tổng doanh thu tháng 5</t>
  </si>
  <si>
    <t>thay vòi rửa P302</t>
  </si>
  <si>
    <t>6 biển giữ trật tự sau 22h</t>
  </si>
  <si>
    <t>1 dan no smoking</t>
  </si>
  <si>
    <t>k giặt quá nhiều đồ</t>
  </si>
  <si>
    <t>k mở cửa cho người lạ</t>
  </si>
  <si>
    <t>5 biển để giày dép gọn gàng</t>
  </si>
  <si>
    <t>1 biển để rác gọn vào thùg</t>
  </si>
  <si>
    <t>trừ 300k tiền nc</t>
  </si>
  <si>
    <t>kh phá hd, kh mới 21/6 chốt giá 3tr9</t>
  </si>
  <si>
    <t>kh phá hd, kh mới 25/6 chốt giá 3tr8</t>
  </si>
  <si>
    <t>kh phá hd, 1tr bỏ cọc</t>
  </si>
  <si>
    <t>BÁO CÁO KINH DOANH G1 THÁNG 6/2026</t>
  </si>
  <si>
    <t>Tổng doanh thu tháng 6</t>
  </si>
  <si>
    <t>P601</t>
  </si>
  <si>
    <t>P401</t>
  </si>
  <si>
    <t>P402</t>
  </si>
  <si>
    <t>P601 bỏ cọc</t>
  </si>
  <si>
    <t>Dọn vệ sinh phòng P601</t>
  </si>
  <si>
    <t>Sơn điểm + Dọn phòng P401</t>
  </si>
  <si>
    <t>Sơn điểm + Dọn phòng p402</t>
  </si>
  <si>
    <t>công an tạm trú</t>
  </si>
  <si>
    <t>1 thùng rác 120L</t>
  </si>
  <si>
    <t>1 biển k khóa cổ xe</t>
  </si>
  <si>
    <t>kh mới 1/7 chốt giá 3tr6, tháng 7 chưa ở chỉ đóng tiền nhà</t>
  </si>
  <si>
    <t>BÁO CÁO KINH DOANH G1 THÁNG 7/2026</t>
  </si>
  <si>
    <t>Tổng doanh thu tháng 7</t>
  </si>
  <si>
    <t>phí vệ sinh môi trường năm 2026</t>
  </si>
  <si>
    <t xml:space="preserve">kh mới 1/8 chốt giá 4tr1 </t>
  </si>
  <si>
    <t>12th</t>
  </si>
  <si>
    <t>kh đóng thừa</t>
  </si>
  <si>
    <t xml:space="preserve">kh phá hd, kh mới 3/8 chốt giá 3tr9, </t>
  </si>
  <si>
    <t>BÁO CÁO KINH DOANH G1 THÁNG 8/2026</t>
  </si>
  <si>
    <t>Tổng doanh thu tháng 8</t>
  </si>
  <si>
    <t>P203</t>
  </si>
  <si>
    <t>Sửa tủ P304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</si>
</sst>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-* #,##0\ _₫_-;\-* #,##0\ _₫_-;_-* &quot;-&quot;??\ _₫_-;_-@_-"/>
    <numFmt numFmtId="165" formatCode="d/mm/yyyy;@"/>
    <numFmt numFmtId="166" formatCode="_-* #,##0.00\ _₫_-;\-* #,##0.00\ _₫_-;_-* &quot;-&quot;??\ _₫_-;_-@_-"/>
    <numFmt numFmtId="167" formatCode="#,##0_ ;[Red]\-#,##0\ "/>
    <numFmt numFmtId="168" formatCode="#,##0\ [$đ-42A]"/>
    <numFmt numFmtId="169" formatCode="_-* #,##0.00\ _₫_-;\-* #,##0.00\ _₫_-;_-* &quot;-&quot;??\ _₫_-;_-@"/>
    <numFmt numFmtId="170" formatCode="d/m"/>
    <numFmt numFmtId="171" formatCode="_ * #,##0.00_ ;_ * \-#,##0.00_ ;_ * &quot;-&quot;??_ ;_ @_ "/>
    <numFmt numFmtId="172" formatCode="d/m/yyyy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3"/>
      <scheme val="minor"/>
    </font>
    <font>
      <b/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  <font>
      <sz val="11"/>
      <color theme="1"/>
      <name val="Time s New Roman"/>
    </font>
    <font>
      <sz val="10"/>
      <color rgb="FF000000"/>
      <name val="Arial"/>
      <family val="2"/>
    </font>
    <font>
      <b/>
      <sz val="9"/>
      <color rgb="FF000000"/>
      <name val="Times New Roman"/>
      <family val="1"/>
    </font>
    <font>
      <sz val="9"/>
      <color rgb="FF000000"/>
      <name val="Times New Roman"/>
      <family val="1"/>
    </font>
    <font>
      <sz val="11"/>
      <color rgb="FFFF0000"/>
      <name val="Times New Roman"/>
      <family val="1"/>
    </font>
    <font>
      <b/>
      <sz val="11"/>
      <color rgb="FFFF0000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name val="Calibri"/>
      <family val="2"/>
    </font>
    <font>
      <b/>
      <sz val="14"/>
      <color theme="1"/>
      <name val="Times New Roman"/>
      <family val="1"/>
    </font>
    <font>
      <b/>
      <sz val="14"/>
      <color rgb="FFFF0000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rgb="FF006100"/>
      <name val="Times New Roman"/>
      <family val="1"/>
    </font>
    <font>
      <sz val="11"/>
      <color rgb="FFFF0000"/>
      <name val="Times New Roman"/>
      <family val="1"/>
    </font>
    <font>
      <sz val="11"/>
      <color rgb="FF081C36"/>
      <name val="Quattrocento Sans"/>
      <family val="2"/>
    </font>
    <font>
      <sz val="11"/>
      <color rgb="FF000000"/>
      <name val="Times New Roman"/>
      <family val="1"/>
    </font>
    <font>
      <sz val="11"/>
      <color theme="1"/>
      <name val="Calibri"/>
      <family val="2"/>
    </font>
    <font>
      <b/>
      <sz val="12"/>
      <color rgb="FF000000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0"/>
      <color theme="1"/>
      <name val="Times New Roman"/>
      <family val="1"/>
    </font>
    <font>
      <sz val="10"/>
      <color theme="1"/>
      <name val="Calibri"/>
      <family val="2"/>
      <charset val="163"/>
      <scheme val="minor"/>
    </font>
    <font>
      <sz val="9"/>
      <color theme="1"/>
      <name val="Times New Roman"/>
      <family val="1"/>
    </font>
    <font>
      <b/>
      <sz val="10"/>
      <color theme="1"/>
      <name val="Times New Roman"/>
      <family val="1"/>
    </font>
    <font>
      <b/>
      <sz val="10"/>
      <color rgb="FFFF0000"/>
      <name val="Times New Roman"/>
      <family val="1"/>
    </font>
    <font>
      <b/>
      <sz val="9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rgb="FF006100"/>
      <name val="Times New Roman"/>
      <family val="1"/>
    </font>
    <font>
      <sz val="11"/>
      <color rgb="FFFF0000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Times New Roman"/>
    </font>
    <font>
      <sz val="11"/>
      <color theme="1"/>
      <name val="Times New Roman"/>
    </font>
    <font>
      <b/>
      <sz val="12"/>
      <color theme="1"/>
      <name val="Times New Roman"/>
    </font>
    <font>
      <sz val="11"/>
      <color rgb="FF006100"/>
      <name val="Times New Roman"/>
    </font>
    <font>
      <sz val="11"/>
      <color rgb="FFFF0000"/>
      <name val="Times New Roman"/>
    </font>
    <font>
      <sz val="12"/>
      <color theme="1"/>
      <name val="Times New Roman"/>
    </font>
    <font>
      <sz val="11"/>
      <color theme="1"/>
      <name val="Calibri"/>
      <charset val="134"/>
      <scheme val="minor"/>
    </font>
  </fonts>
  <fills count="3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FFFF"/>
        <bgColor rgb="FF00FFFF"/>
      </patternFill>
    </fill>
    <fill>
      <patternFill patternType="solid">
        <fgColor theme="0"/>
        <bgColor theme="0"/>
      </patternFill>
    </fill>
    <fill>
      <patternFill patternType="solid">
        <fgColor rgb="FFDDD9C3"/>
        <bgColor rgb="FFDDD9C3"/>
      </patternFill>
    </fill>
    <fill>
      <patternFill patternType="solid">
        <fgColor rgb="FFDBE5F1"/>
        <bgColor rgb="FFDBE5F1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93C47D"/>
        <bgColor rgb="FF93C47D"/>
      </patternFill>
    </fill>
    <fill>
      <patternFill patternType="solid">
        <fgColor rgb="FF9BBB59"/>
        <bgColor rgb="FF9BBB59"/>
      </patternFill>
    </fill>
    <fill>
      <patternFill patternType="solid">
        <fgColor rgb="FFFFFF00"/>
        <bgColor rgb="FFFFFF00"/>
      </patternFill>
    </fill>
    <fill>
      <patternFill patternType="solid">
        <fgColor rgb="FF6AA84F"/>
        <bgColor rgb="FF6AA84F"/>
      </patternFill>
    </fill>
    <fill>
      <patternFill patternType="solid">
        <fgColor rgb="FF92D050"/>
        <bgColor rgb="FF92D050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DE9D9"/>
        <bgColor rgb="FFFDE9D9"/>
      </patternFill>
    </fill>
    <fill>
      <patternFill patternType="solid">
        <fgColor rgb="FF00B0F0"/>
        <bgColor rgb="FF00B0F0"/>
      </patternFill>
    </fill>
    <fill>
      <patternFill patternType="solid">
        <fgColor rgb="FFB2A1C7"/>
        <bgColor rgb="FFB2A1C7"/>
      </patternFill>
    </fill>
    <fill>
      <patternFill patternType="solid">
        <fgColor rgb="FFDAEEF3"/>
        <bgColor rgb="FFDAEEF3"/>
      </patternFill>
    </fill>
    <fill>
      <patternFill patternType="solid">
        <fgColor rgb="FFFFC000"/>
        <bgColor rgb="FFFFC000"/>
      </patternFill>
    </fill>
    <fill>
      <patternFill patternType="solid">
        <fgColor rgb="FFFFCCFF"/>
        <bgColor rgb="FFFFCCFF"/>
      </patternFill>
    </fill>
    <fill>
      <patternFill patternType="solid">
        <fgColor rgb="FF95B3D7"/>
        <bgColor rgb="FF95B3D7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</borders>
  <cellStyleXfs count="9">
    <xf numFmtId="0" fontId="0" fillId="0" borderId="0"/>
    <xf numFmtId="0" fontId="2" fillId="0" borderId="0"/>
    <xf numFmtId="166" fontId="2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8" fillId="0" borderId="0"/>
    <xf numFmtId="0" fontId="15" fillId="0" borderId="0"/>
    <xf numFmtId="9" fontId="1" fillId="0" borderId="0" applyFont="0" applyFill="0" applyBorder="0" applyAlignment="0" applyProtection="0"/>
    <xf numFmtId="0" fontId="1" fillId="0" borderId="0"/>
    <xf numFmtId="171" fontId="49" fillId="0" borderId="0" applyFont="0" applyFill="0" applyBorder="0" applyAlignment="0" applyProtection="0">
      <alignment vertical="center"/>
    </xf>
  </cellStyleXfs>
  <cellXfs count="383">
    <xf numFmtId="0" fontId="0" fillId="0" borderId="0" xfId="0"/>
    <xf numFmtId="0" fontId="3" fillId="2" borderId="4" xfId="1" applyFont="1" applyFill="1" applyBorder="1" applyAlignment="1">
      <alignment horizontal="left"/>
    </xf>
    <xf numFmtId="3" fontId="3" fillId="2" borderId="4" xfId="1" applyNumberFormat="1" applyFont="1" applyFill="1" applyBorder="1" applyAlignment="1">
      <alignment horizontal="left"/>
    </xf>
    <xf numFmtId="164" fontId="3" fillId="2" borderId="4" xfId="1" applyNumberFormat="1" applyFont="1" applyFill="1" applyBorder="1" applyAlignment="1">
      <alignment horizontal="left"/>
    </xf>
    <xf numFmtId="0" fontId="4" fillId="3" borderId="5" xfId="1" applyFont="1" applyFill="1" applyBorder="1" applyAlignment="1">
      <alignment horizontal="left"/>
    </xf>
    <xf numFmtId="165" fontId="4" fillId="3" borderId="5" xfId="1" applyNumberFormat="1" applyFont="1" applyFill="1" applyBorder="1" applyAlignment="1">
      <alignment horizontal="left"/>
    </xf>
    <xf numFmtId="3" fontId="4" fillId="3" borderId="5" xfId="2" applyNumberFormat="1" applyFont="1" applyFill="1" applyBorder="1" applyAlignment="1">
      <alignment horizontal="left"/>
    </xf>
    <xf numFmtId="164" fontId="4" fillId="3" borderId="5" xfId="2" applyNumberFormat="1" applyFont="1" applyFill="1" applyBorder="1" applyAlignment="1">
      <alignment horizontal="left"/>
    </xf>
    <xf numFmtId="0" fontId="5" fillId="0" borderId="4" xfId="0" applyFont="1" applyBorder="1" applyAlignment="1">
      <alignment horizontal="left"/>
    </xf>
    <xf numFmtId="0" fontId="0" fillId="0" borderId="4" xfId="0" applyBorder="1"/>
    <xf numFmtId="3" fontId="6" fillId="0" borderId="4" xfId="0" applyNumberFormat="1" applyFont="1" applyBorder="1" applyAlignment="1">
      <alignment wrapText="1"/>
    </xf>
    <xf numFmtId="3" fontId="6" fillId="0" borderId="4" xfId="0" applyNumberFormat="1" applyFont="1" applyBorder="1"/>
    <xf numFmtId="167" fontId="3" fillId="0" borderId="4" xfId="3" applyNumberFormat="1" applyFont="1" applyFill="1" applyBorder="1" applyAlignment="1">
      <alignment horizontal="left" vertical="center"/>
    </xf>
    <xf numFmtId="167" fontId="6" fillId="0" borderId="4" xfId="3" applyNumberFormat="1" applyFont="1" applyFill="1" applyBorder="1" applyAlignment="1">
      <alignment horizontal="right" vertical="center"/>
    </xf>
    <xf numFmtId="0" fontId="6" fillId="0" borderId="4" xfId="0" applyFont="1" applyBorder="1"/>
    <xf numFmtId="0" fontId="5" fillId="0" borderId="4" xfId="0" applyFont="1" applyBorder="1" applyAlignment="1">
      <alignment horizontal="right"/>
    </xf>
    <xf numFmtId="0" fontId="6" fillId="0" borderId="4" xfId="0" applyFont="1" applyBorder="1" applyAlignment="1">
      <alignment horizontal="right"/>
    </xf>
    <xf numFmtId="167" fontId="3" fillId="4" borderId="4" xfId="3" applyNumberFormat="1" applyFont="1" applyFill="1" applyBorder="1" applyAlignment="1">
      <alignment horizontal="left" vertical="center"/>
    </xf>
    <xf numFmtId="0" fontId="7" fillId="0" borderId="4" xfId="0" applyFont="1" applyBorder="1"/>
    <xf numFmtId="3" fontId="7" fillId="0" borderId="4" xfId="0" applyNumberFormat="1" applyFont="1" applyBorder="1"/>
    <xf numFmtId="0" fontId="6" fillId="0" borderId="0" xfId="0" applyFont="1"/>
    <xf numFmtId="0" fontId="3" fillId="2" borderId="1" xfId="1" applyFont="1" applyFill="1" applyBorder="1" applyAlignment="1">
      <alignment horizontal="left"/>
    </xf>
    <xf numFmtId="0" fontId="3" fillId="2" borderId="3" xfId="1" applyFont="1" applyFill="1" applyBorder="1" applyAlignment="1">
      <alignment horizontal="left"/>
    </xf>
    <xf numFmtId="0" fontId="3" fillId="2" borderId="4" xfId="1" applyFont="1" applyFill="1" applyBorder="1" applyAlignment="1">
      <alignment horizontal="right"/>
    </xf>
    <xf numFmtId="0" fontId="4" fillId="3" borderId="6" xfId="1" applyFont="1" applyFill="1" applyBorder="1" applyAlignment="1">
      <alignment horizontal="left"/>
    </xf>
    <xf numFmtId="165" fontId="4" fillId="3" borderId="4" xfId="1" applyNumberFormat="1" applyFont="1" applyFill="1" applyBorder="1" applyAlignment="1">
      <alignment horizontal="left"/>
    </xf>
    <xf numFmtId="0" fontId="3" fillId="3" borderId="7" xfId="1" applyFont="1" applyFill="1" applyBorder="1" applyAlignment="1">
      <alignment horizontal="left"/>
    </xf>
    <xf numFmtId="3" fontId="3" fillId="3" borderId="5" xfId="2" applyNumberFormat="1" applyFont="1" applyFill="1" applyBorder="1" applyAlignment="1">
      <alignment horizontal="left"/>
    </xf>
    <xf numFmtId="3" fontId="4" fillId="3" borderId="5" xfId="2" applyNumberFormat="1" applyFont="1" applyFill="1" applyBorder="1" applyAlignment="1">
      <alignment horizontal="right"/>
    </xf>
    <xf numFmtId="3" fontId="9" fillId="5" borderId="4" xfId="4" applyNumberFormat="1" applyFont="1" applyFill="1" applyBorder="1" applyAlignment="1">
      <alignment horizontal="center" vertical="center"/>
    </xf>
    <xf numFmtId="3" fontId="9" fillId="5" borderId="4" xfId="4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/>
    </xf>
    <xf numFmtId="0" fontId="6" fillId="0" borderId="3" xfId="0" applyFont="1" applyBorder="1" applyAlignment="1">
      <alignment horizontal="left"/>
    </xf>
    <xf numFmtId="3" fontId="6" fillId="0" borderId="4" xfId="0" applyNumberFormat="1" applyFont="1" applyBorder="1" applyAlignment="1">
      <alignment horizontal="left"/>
    </xf>
    <xf numFmtId="3" fontId="9" fillId="4" borderId="4" xfId="4" applyNumberFormat="1" applyFont="1" applyFill="1" applyBorder="1" applyAlignment="1">
      <alignment horizontal="left" vertical="center"/>
    </xf>
    <xf numFmtId="3" fontId="9" fillId="4" borderId="4" xfId="4" applyNumberFormat="1" applyFont="1" applyFill="1" applyBorder="1" applyAlignment="1">
      <alignment horizontal="center" vertical="center"/>
    </xf>
    <xf numFmtId="0" fontId="9" fillId="0" borderId="4" xfId="0" applyFont="1" applyBorder="1" applyAlignment="1">
      <alignment horizontal="left"/>
    </xf>
    <xf numFmtId="3" fontId="6" fillId="0" borderId="4" xfId="3" applyNumberFormat="1" applyFont="1" applyFill="1" applyBorder="1" applyAlignment="1"/>
    <xf numFmtId="3" fontId="10" fillId="0" borderId="4" xfId="0" applyNumberFormat="1" applyFont="1" applyBorder="1"/>
    <xf numFmtId="3" fontId="9" fillId="0" borderId="4" xfId="0" applyNumberFormat="1" applyFont="1" applyBorder="1"/>
    <xf numFmtId="3" fontId="6" fillId="0" borderId="0" xfId="0" applyNumberFormat="1" applyFont="1"/>
    <xf numFmtId="0" fontId="6" fillId="0" borderId="3" xfId="0" applyFont="1" applyBorder="1" applyAlignment="1">
      <alignment horizontal="left" vertical="center"/>
    </xf>
    <xf numFmtId="0" fontId="6" fillId="0" borderId="3" xfId="0" applyFont="1" applyBorder="1" applyAlignment="1">
      <alignment horizontal="left" wrapText="1"/>
    </xf>
    <xf numFmtId="3" fontId="6" fillId="0" borderId="4" xfId="1" applyNumberFormat="1" applyFont="1" applyBorder="1"/>
    <xf numFmtId="167" fontId="12" fillId="0" borderId="4" xfId="3" applyNumberFormat="1" applyFont="1" applyFill="1" applyBorder="1" applyAlignment="1">
      <alignment horizontal="left" vertical="center"/>
    </xf>
    <xf numFmtId="3" fontId="11" fillId="0" borderId="4" xfId="0" applyNumberFormat="1" applyFont="1" applyBorder="1"/>
    <xf numFmtId="0" fontId="6" fillId="0" borderId="8" xfId="0" applyFont="1" applyBorder="1"/>
    <xf numFmtId="0" fontId="11" fillId="0" borderId="4" xfId="0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11" fillId="0" borderId="4" xfId="0" applyFont="1" applyBorder="1"/>
    <xf numFmtId="0" fontId="11" fillId="0" borderId="4" xfId="0" applyFont="1" applyBorder="1" applyAlignment="1">
      <alignment horizontal="right"/>
    </xf>
    <xf numFmtId="0" fontId="16" fillId="7" borderId="9" xfId="5" applyFont="1" applyFill="1" applyBorder="1" applyAlignment="1">
      <alignment horizontal="center"/>
    </xf>
    <xf numFmtId="0" fontId="16" fillId="0" borderId="10" xfId="5" applyFont="1" applyBorder="1" applyAlignment="1">
      <alignment horizontal="center"/>
    </xf>
    <xf numFmtId="0" fontId="17" fillId="0" borderId="10" xfId="5" applyFont="1" applyBorder="1" applyAlignment="1">
      <alignment horizontal="center"/>
    </xf>
    <xf numFmtId="0" fontId="17" fillId="8" borderId="11" xfId="5" applyFont="1" applyFill="1" applyBorder="1" applyAlignment="1">
      <alignment horizontal="center"/>
    </xf>
    <xf numFmtId="3" fontId="17" fillId="9" borderId="10" xfId="5" applyNumberFormat="1" applyFont="1" applyFill="1" applyBorder="1" applyAlignment="1">
      <alignment horizontal="center"/>
    </xf>
    <xf numFmtId="3" fontId="17" fillId="10" borderId="10" xfId="5" applyNumberFormat="1" applyFont="1" applyFill="1" applyBorder="1"/>
    <xf numFmtId="38" fontId="17" fillId="0" borderId="10" xfId="5" applyNumberFormat="1" applyFont="1" applyBorder="1" applyAlignment="1">
      <alignment horizontal="center"/>
    </xf>
    <xf numFmtId="3" fontId="17" fillId="0" borderId="10" xfId="5" applyNumberFormat="1" applyFont="1" applyBorder="1" applyAlignment="1">
      <alignment horizontal="center"/>
    </xf>
    <xf numFmtId="0" fontId="17" fillId="10" borderId="10" xfId="5" applyFont="1" applyFill="1" applyBorder="1" applyAlignment="1">
      <alignment horizontal="center"/>
    </xf>
    <xf numFmtId="167" fontId="17" fillId="0" borderId="10" xfId="5" applyNumberFormat="1" applyFont="1" applyBorder="1" applyAlignment="1">
      <alignment horizontal="center"/>
    </xf>
    <xf numFmtId="0" fontId="17" fillId="11" borderId="10" xfId="5" applyFont="1" applyFill="1" applyBorder="1" applyAlignment="1">
      <alignment horizontal="center"/>
    </xf>
    <xf numFmtId="0" fontId="17" fillId="7" borderId="10" xfId="5" applyFont="1" applyFill="1" applyBorder="1" applyAlignment="1">
      <alignment horizontal="center" vertical="center"/>
    </xf>
    <xf numFmtId="3" fontId="17" fillId="11" borderId="10" xfId="5" applyNumberFormat="1" applyFont="1" applyFill="1" applyBorder="1" applyAlignment="1">
      <alignment horizontal="center"/>
    </xf>
    <xf numFmtId="168" fontId="17" fillId="0" borderId="10" xfId="5" applyNumberFormat="1" applyFont="1" applyBorder="1" applyAlignment="1">
      <alignment horizontal="center"/>
    </xf>
    <xf numFmtId="0" fontId="15" fillId="0" borderId="0" xfId="5"/>
    <xf numFmtId="0" fontId="16" fillId="12" borderId="12" xfId="5" applyFont="1" applyFill="1" applyBorder="1" applyAlignment="1">
      <alignment horizontal="center"/>
    </xf>
    <xf numFmtId="0" fontId="16" fillId="13" borderId="11" xfId="5" applyFont="1" applyFill="1" applyBorder="1" applyAlignment="1">
      <alignment horizontal="center"/>
    </xf>
    <xf numFmtId="3" fontId="16" fillId="13" borderId="11" xfId="5" applyNumberFormat="1" applyFont="1" applyFill="1" applyBorder="1" applyAlignment="1">
      <alignment horizontal="center"/>
    </xf>
    <xf numFmtId="3" fontId="16" fillId="13" borderId="11" xfId="5" applyNumberFormat="1" applyFont="1" applyFill="1" applyBorder="1" applyAlignment="1">
      <alignment horizontal="center" wrapText="1"/>
    </xf>
    <xf numFmtId="38" fontId="16" fillId="13" borderId="11" xfId="5" applyNumberFormat="1" applyFont="1" applyFill="1" applyBorder="1" applyAlignment="1">
      <alignment horizontal="center"/>
    </xf>
    <xf numFmtId="167" fontId="17" fillId="13" borderId="11" xfId="5" applyNumberFormat="1" applyFont="1" applyFill="1" applyBorder="1" applyAlignment="1">
      <alignment horizontal="center"/>
    </xf>
    <xf numFmtId="0" fontId="17" fillId="13" borderId="11" xfId="5" applyFont="1" applyFill="1" applyBorder="1" applyAlignment="1">
      <alignment horizontal="center"/>
    </xf>
    <xf numFmtId="0" fontId="17" fillId="12" borderId="11" xfId="5" applyFont="1" applyFill="1" applyBorder="1" applyAlignment="1">
      <alignment horizontal="center" vertical="center"/>
    </xf>
    <xf numFmtId="0" fontId="16" fillId="13" borderId="11" xfId="5" applyFont="1" applyFill="1" applyBorder="1" applyAlignment="1">
      <alignment horizontal="center" wrapText="1"/>
    </xf>
    <xf numFmtId="0" fontId="17" fillId="7" borderId="12" xfId="5" applyFont="1" applyFill="1" applyBorder="1"/>
    <xf numFmtId="0" fontId="17" fillId="6" borderId="11" xfId="5" applyFont="1" applyFill="1" applyBorder="1"/>
    <xf numFmtId="3" fontId="17" fillId="6" borderId="11" xfId="5" applyNumberFormat="1" applyFont="1" applyFill="1" applyBorder="1"/>
    <xf numFmtId="38" fontId="17" fillId="6" borderId="11" xfId="5" applyNumberFormat="1" applyFont="1" applyFill="1" applyBorder="1"/>
    <xf numFmtId="3" fontId="17" fillId="6" borderId="11" xfId="5" applyNumberFormat="1" applyFont="1" applyFill="1" applyBorder="1" applyAlignment="1">
      <alignment horizontal="center"/>
    </xf>
    <xf numFmtId="168" fontId="17" fillId="6" borderId="11" xfId="5" applyNumberFormat="1" applyFont="1" applyFill="1" applyBorder="1" applyAlignment="1">
      <alignment horizontal="center"/>
    </xf>
    <xf numFmtId="0" fontId="17" fillId="6" borderId="11" xfId="5" applyFont="1" applyFill="1" applyBorder="1" applyAlignment="1">
      <alignment horizontal="center"/>
    </xf>
    <xf numFmtId="168" fontId="17" fillId="6" borderId="11" xfId="5" applyNumberFormat="1" applyFont="1" applyFill="1" applyBorder="1"/>
    <xf numFmtId="0" fontId="19" fillId="15" borderId="12" xfId="5" applyFont="1" applyFill="1" applyBorder="1"/>
    <xf numFmtId="0" fontId="19" fillId="16" borderId="11" xfId="5" applyFont="1" applyFill="1" applyBorder="1"/>
    <xf numFmtId="3" fontId="19" fillId="16" borderId="11" xfId="5" applyNumberFormat="1" applyFont="1" applyFill="1" applyBorder="1"/>
    <xf numFmtId="38" fontId="19" fillId="16" borderId="11" xfId="5" applyNumberFormat="1" applyFont="1" applyFill="1" applyBorder="1" applyAlignment="1">
      <alignment horizontal="center"/>
    </xf>
    <xf numFmtId="169" fontId="19" fillId="16" borderId="11" xfId="5" applyNumberFormat="1" applyFont="1" applyFill="1" applyBorder="1" applyAlignment="1">
      <alignment horizontal="center"/>
    </xf>
    <xf numFmtId="167" fontId="19" fillId="16" borderId="11" xfId="5" applyNumberFormat="1" applyFont="1" applyFill="1" applyBorder="1" applyAlignment="1">
      <alignment horizontal="center"/>
    </xf>
    <xf numFmtId="0" fontId="19" fillId="14" borderId="11" xfId="5" applyFont="1" applyFill="1" applyBorder="1" applyAlignment="1">
      <alignment horizontal="center"/>
    </xf>
    <xf numFmtId="0" fontId="19" fillId="14" borderId="13" xfId="5" applyFont="1" applyFill="1" applyBorder="1" applyAlignment="1">
      <alignment horizontal="center"/>
    </xf>
    <xf numFmtId="167" fontId="19" fillId="16" borderId="11" xfId="5" applyNumberFormat="1" applyFont="1" applyFill="1" applyBorder="1"/>
    <xf numFmtId="167" fontId="20" fillId="16" borderId="11" xfId="5" applyNumberFormat="1" applyFont="1" applyFill="1" applyBorder="1" applyAlignment="1">
      <alignment horizontal="center"/>
    </xf>
    <xf numFmtId="37" fontId="19" fillId="16" borderId="11" xfId="5" applyNumberFormat="1" applyFont="1" applyFill="1" applyBorder="1" applyAlignment="1">
      <alignment horizontal="center"/>
    </xf>
    <xf numFmtId="3" fontId="19" fillId="16" borderId="11" xfId="5" applyNumberFormat="1" applyFont="1" applyFill="1" applyBorder="1" applyAlignment="1">
      <alignment horizontal="center"/>
    </xf>
    <xf numFmtId="3" fontId="19" fillId="16" borderId="11" xfId="5" applyNumberFormat="1" applyFont="1" applyFill="1" applyBorder="1" applyAlignment="1">
      <alignment horizontal="center" vertical="center" wrapText="1"/>
    </xf>
    <xf numFmtId="3" fontId="19" fillId="16" borderId="11" xfId="5" applyNumberFormat="1" applyFont="1" applyFill="1" applyBorder="1" applyAlignment="1">
      <alignment horizontal="center" vertical="center"/>
    </xf>
    <xf numFmtId="0" fontId="19" fillId="16" borderId="11" xfId="5" applyFont="1" applyFill="1" applyBorder="1" applyAlignment="1">
      <alignment horizontal="center"/>
    </xf>
    <xf numFmtId="0" fontId="19" fillId="16" borderId="11" xfId="5" applyFont="1" applyFill="1" applyBorder="1" applyAlignment="1">
      <alignment horizontal="center" wrapText="1"/>
    </xf>
    <xf numFmtId="168" fontId="19" fillId="16" borderId="11" xfId="5" applyNumberFormat="1" applyFont="1" applyFill="1" applyBorder="1" applyAlignment="1">
      <alignment horizontal="center"/>
    </xf>
    <xf numFmtId="168" fontId="19" fillId="16" borderId="11" xfId="5" applyNumberFormat="1" applyFont="1" applyFill="1" applyBorder="1"/>
    <xf numFmtId="0" fontId="16" fillId="0" borderId="9" xfId="5" applyFont="1" applyBorder="1" applyAlignment="1">
      <alignment horizontal="center" vertical="center"/>
    </xf>
    <xf numFmtId="0" fontId="17" fillId="0" borderId="9" xfId="5" applyFont="1" applyBorder="1" applyAlignment="1">
      <alignment horizontal="center" vertical="center"/>
    </xf>
    <xf numFmtId="3" fontId="21" fillId="0" borderId="9" xfId="5" applyNumberFormat="1" applyFont="1" applyBorder="1" applyAlignment="1">
      <alignment horizontal="center"/>
    </xf>
    <xf numFmtId="3" fontId="21" fillId="0" borderId="10" xfId="5" applyNumberFormat="1" applyFont="1" applyBorder="1" applyAlignment="1">
      <alignment horizontal="center"/>
    </xf>
    <xf numFmtId="38" fontId="17" fillId="0" borderId="9" xfId="5" applyNumberFormat="1" applyFont="1" applyBorder="1" applyAlignment="1">
      <alignment horizontal="center" vertical="center"/>
    </xf>
    <xf numFmtId="3" fontId="17" fillId="0" borderId="9" xfId="5" applyNumberFormat="1" applyFont="1" applyBorder="1" applyAlignment="1">
      <alignment horizontal="center" vertical="center"/>
    </xf>
    <xf numFmtId="0" fontId="22" fillId="0" borderId="9" xfId="5" applyFont="1" applyBorder="1" applyAlignment="1">
      <alignment horizontal="center"/>
    </xf>
    <xf numFmtId="167" fontId="17" fillId="0" borderId="9" xfId="5" applyNumberFormat="1" applyFont="1" applyBorder="1" applyAlignment="1">
      <alignment horizontal="center" vertical="center"/>
    </xf>
    <xf numFmtId="167" fontId="17" fillId="7" borderId="11" xfId="5" applyNumberFormat="1" applyFont="1" applyFill="1" applyBorder="1"/>
    <xf numFmtId="167" fontId="17" fillId="7" borderId="11" xfId="5" applyNumberFormat="1" applyFont="1" applyFill="1" applyBorder="1" applyAlignment="1">
      <alignment horizontal="center"/>
    </xf>
    <xf numFmtId="0" fontId="17" fillId="7" borderId="9" xfId="5" applyFont="1" applyFill="1" applyBorder="1" applyAlignment="1">
      <alignment horizontal="center" vertical="center"/>
    </xf>
    <xf numFmtId="37" fontId="17" fillId="11" borderId="9" xfId="5" applyNumberFormat="1" applyFont="1" applyFill="1" applyBorder="1" applyAlignment="1">
      <alignment horizontal="center" vertical="center"/>
    </xf>
    <xf numFmtId="0" fontId="23" fillId="7" borderId="11" xfId="5" applyFont="1" applyFill="1" applyBorder="1" applyAlignment="1">
      <alignment horizontal="center"/>
    </xf>
    <xf numFmtId="37" fontId="24" fillId="7" borderId="11" xfId="5" applyNumberFormat="1" applyFont="1" applyFill="1" applyBorder="1" applyAlignment="1">
      <alignment horizontal="center" wrapText="1"/>
    </xf>
    <xf numFmtId="3" fontId="17" fillId="7" borderId="9" xfId="5" applyNumberFormat="1" applyFont="1" applyFill="1" applyBorder="1" applyAlignment="1">
      <alignment horizontal="center" vertical="center" wrapText="1"/>
    </xf>
    <xf numFmtId="3" fontId="17" fillId="7" borderId="9" xfId="5" applyNumberFormat="1" applyFont="1" applyFill="1" applyBorder="1" applyAlignment="1">
      <alignment horizontal="center" vertical="center"/>
    </xf>
    <xf numFmtId="168" fontId="17" fillId="7" borderId="9" xfId="5" applyNumberFormat="1" applyFont="1" applyFill="1" applyBorder="1" applyAlignment="1">
      <alignment horizontal="center" vertical="center"/>
    </xf>
    <xf numFmtId="37" fontId="17" fillId="7" borderId="9" xfId="5" applyNumberFormat="1" applyFont="1" applyFill="1" applyBorder="1" applyAlignment="1">
      <alignment horizontal="center" vertical="center"/>
    </xf>
    <xf numFmtId="0" fontId="22" fillId="0" borderId="12" xfId="5" applyFont="1" applyBorder="1" applyAlignment="1">
      <alignment horizontal="center"/>
    </xf>
    <xf numFmtId="3" fontId="21" fillId="0" borderId="11" xfId="5" applyNumberFormat="1" applyFont="1" applyBorder="1" applyAlignment="1">
      <alignment horizontal="center"/>
    </xf>
    <xf numFmtId="3" fontId="22" fillId="0" borderId="9" xfId="5" applyNumberFormat="1" applyFont="1" applyBorder="1" applyAlignment="1">
      <alignment horizontal="center"/>
    </xf>
    <xf numFmtId="38" fontId="17" fillId="7" borderId="9" xfId="5" applyNumberFormat="1" applyFont="1" applyFill="1" applyBorder="1" applyAlignment="1">
      <alignment horizontal="center" vertical="center"/>
    </xf>
    <xf numFmtId="0" fontId="22" fillId="7" borderId="12" xfId="5" applyFont="1" applyFill="1" applyBorder="1" applyAlignment="1">
      <alignment horizontal="center"/>
    </xf>
    <xf numFmtId="0" fontId="16" fillId="7" borderId="9" xfId="5" applyFont="1" applyFill="1" applyBorder="1" applyAlignment="1">
      <alignment horizontal="center" vertical="center"/>
    </xf>
    <xf numFmtId="167" fontId="17" fillId="7" borderId="9" xfId="5" applyNumberFormat="1" applyFont="1" applyFill="1" applyBorder="1" applyAlignment="1">
      <alignment horizontal="center" vertical="center"/>
    </xf>
    <xf numFmtId="0" fontId="25" fillId="7" borderId="0" xfId="5" applyFont="1" applyFill="1" applyAlignment="1">
      <alignment horizontal="center" wrapText="1"/>
    </xf>
    <xf numFmtId="167" fontId="17" fillId="0" borderId="11" xfId="5" applyNumberFormat="1" applyFont="1" applyBorder="1"/>
    <xf numFmtId="167" fontId="17" fillId="0" borderId="11" xfId="5" applyNumberFormat="1" applyFont="1" applyBorder="1" applyAlignment="1">
      <alignment horizontal="center"/>
    </xf>
    <xf numFmtId="0" fontId="23" fillId="0" borderId="11" xfId="5" applyFont="1" applyBorder="1" applyAlignment="1">
      <alignment horizontal="center"/>
    </xf>
    <xf numFmtId="37" fontId="24" fillId="0" borderId="11" xfId="5" applyNumberFormat="1" applyFont="1" applyBorder="1" applyAlignment="1">
      <alignment horizontal="center" wrapText="1"/>
    </xf>
    <xf numFmtId="3" fontId="17" fillId="0" borderId="9" xfId="5" applyNumberFormat="1" applyFont="1" applyBorder="1" applyAlignment="1">
      <alignment horizontal="center" vertical="center" wrapText="1"/>
    </xf>
    <xf numFmtId="168" fontId="17" fillId="0" borderId="9" xfId="5" applyNumberFormat="1" applyFont="1" applyBorder="1" applyAlignment="1">
      <alignment horizontal="center" vertical="center"/>
    </xf>
    <xf numFmtId="37" fontId="17" fillId="0" borderId="9" xfId="5" applyNumberFormat="1" applyFont="1" applyBorder="1" applyAlignment="1">
      <alignment horizontal="center" vertical="center"/>
    </xf>
    <xf numFmtId="170" fontId="17" fillId="0" borderId="9" xfId="5" applyNumberFormat="1" applyFont="1" applyBorder="1" applyAlignment="1">
      <alignment horizontal="center" vertical="center"/>
    </xf>
    <xf numFmtId="0" fontId="17" fillId="0" borderId="9" xfId="5" applyFont="1" applyBorder="1" applyAlignment="1">
      <alignment horizontal="center" vertical="center" wrapText="1"/>
    </xf>
    <xf numFmtId="3" fontId="26" fillId="0" borderId="0" xfId="5" applyNumberFormat="1" applyFont="1" applyAlignment="1">
      <alignment horizontal="center"/>
    </xf>
    <xf numFmtId="3" fontId="17" fillId="9" borderId="9" xfId="5" applyNumberFormat="1" applyFont="1" applyFill="1" applyBorder="1" applyAlignment="1">
      <alignment horizontal="center" vertical="center"/>
    </xf>
    <xf numFmtId="0" fontId="17" fillId="14" borderId="9" xfId="5" applyFont="1" applyFill="1" applyBorder="1" applyAlignment="1">
      <alignment horizontal="center" vertical="center"/>
    </xf>
    <xf numFmtId="0" fontId="27" fillId="7" borderId="0" xfId="5" applyFont="1" applyFill="1"/>
    <xf numFmtId="3" fontId="27" fillId="0" borderId="0" xfId="5" applyNumberFormat="1" applyFont="1"/>
    <xf numFmtId="0" fontId="27" fillId="7" borderId="0" xfId="5" applyFont="1" applyFill="1" applyAlignment="1">
      <alignment horizontal="center" vertical="center"/>
    </xf>
    <xf numFmtId="3" fontId="6" fillId="17" borderId="4" xfId="0" applyNumberFormat="1" applyFont="1" applyFill="1" applyBorder="1"/>
    <xf numFmtId="3" fontId="10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0" fontId="29" fillId="18" borderId="4" xfId="0" applyFont="1" applyFill="1" applyBorder="1" applyAlignment="1">
      <alignment horizontal="left"/>
    </xf>
    <xf numFmtId="0" fontId="30" fillId="18" borderId="4" xfId="0" applyFont="1" applyFill="1" applyBorder="1" applyAlignment="1">
      <alignment horizontal="left"/>
    </xf>
    <xf numFmtId="3" fontId="9" fillId="18" borderId="4" xfId="0" applyNumberFormat="1" applyFont="1" applyFill="1" applyBorder="1" applyAlignment="1">
      <alignment horizontal="left"/>
    </xf>
    <xf numFmtId="0" fontId="10" fillId="0" borderId="4" xfId="0" applyFont="1" applyBorder="1" applyAlignment="1">
      <alignment horizontal="left" wrapText="1"/>
    </xf>
    <xf numFmtId="0" fontId="10" fillId="0" borderId="0" xfId="0" applyFont="1" applyAlignment="1">
      <alignment horizontal="left"/>
    </xf>
    <xf numFmtId="3" fontId="9" fillId="19" borderId="4" xfId="0" applyNumberFormat="1" applyFont="1" applyFill="1" applyBorder="1" applyAlignment="1">
      <alignment horizontal="left"/>
    </xf>
    <xf numFmtId="2" fontId="9" fillId="19" borderId="4" xfId="0" applyNumberFormat="1" applyFont="1" applyFill="1" applyBorder="1" applyAlignment="1">
      <alignment horizontal="left"/>
    </xf>
    <xf numFmtId="0" fontId="9" fillId="19" borderId="4" xfId="0" applyFont="1" applyFill="1" applyBorder="1" applyAlignment="1">
      <alignment horizontal="left"/>
    </xf>
    <xf numFmtId="0" fontId="30" fillId="0" borderId="5" xfId="0" applyFont="1" applyBorder="1" applyAlignment="1">
      <alignment horizontal="left" vertical="center"/>
    </xf>
    <xf numFmtId="0" fontId="30" fillId="0" borderId="4" xfId="0" applyFont="1" applyBorder="1" applyAlignment="1">
      <alignment horizontal="left"/>
    </xf>
    <xf numFmtId="3" fontId="10" fillId="0" borderId="4" xfId="0" applyNumberFormat="1" applyFont="1" applyBorder="1" applyAlignment="1">
      <alignment horizontal="left"/>
    </xf>
    <xf numFmtId="0" fontId="10" fillId="0" borderId="4" xfId="0" applyFont="1" applyBorder="1" applyAlignment="1">
      <alignment horizontal="left"/>
    </xf>
    <xf numFmtId="3" fontId="9" fillId="0" borderId="4" xfId="0" applyNumberFormat="1" applyFont="1" applyBorder="1" applyAlignment="1">
      <alignment horizontal="left"/>
    </xf>
    <xf numFmtId="2" fontId="10" fillId="0" borderId="4" xfId="0" applyNumberFormat="1" applyFont="1" applyBorder="1" applyAlignment="1">
      <alignment horizontal="left"/>
    </xf>
    <xf numFmtId="0" fontId="30" fillId="0" borderId="5" xfId="0" applyFont="1" applyBorder="1" applyAlignment="1">
      <alignment horizontal="left"/>
    </xf>
    <xf numFmtId="3" fontId="10" fillId="0" borderId="5" xfId="0" applyNumberFormat="1" applyFont="1" applyBorder="1" applyAlignment="1">
      <alignment horizontal="left" vertical="center"/>
    </xf>
    <xf numFmtId="0" fontId="10" fillId="0" borderId="5" xfId="0" applyFont="1" applyBorder="1" applyAlignment="1">
      <alignment horizontal="left" vertical="center"/>
    </xf>
    <xf numFmtId="0" fontId="9" fillId="20" borderId="4" xfId="0" applyFont="1" applyFill="1" applyBorder="1" applyAlignment="1">
      <alignment horizontal="left"/>
    </xf>
    <xf numFmtId="3" fontId="9" fillId="20" borderId="4" xfId="0" applyNumberFormat="1" applyFont="1" applyFill="1" applyBorder="1" applyAlignment="1">
      <alignment horizontal="left"/>
    </xf>
    <xf numFmtId="2" fontId="9" fillId="20" borderId="4" xfId="0" applyNumberFormat="1" applyFont="1" applyFill="1" applyBorder="1" applyAlignment="1">
      <alignment horizontal="left"/>
    </xf>
    <xf numFmtId="3" fontId="9" fillId="0" borderId="16" xfId="0" applyNumberFormat="1" applyFont="1" applyBorder="1" applyAlignment="1">
      <alignment horizontal="left"/>
    </xf>
    <xf numFmtId="3" fontId="0" fillId="0" borderId="0" xfId="0" applyNumberFormat="1" applyAlignment="1">
      <alignment horizontal="left"/>
    </xf>
    <xf numFmtId="0" fontId="30" fillId="0" borderId="4" xfId="0" applyFont="1" applyBorder="1" applyAlignment="1">
      <alignment horizontal="left" vertical="center"/>
    </xf>
    <xf numFmtId="3" fontId="10" fillId="0" borderId="4" xfId="0" applyNumberFormat="1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/>
    </xf>
    <xf numFmtId="0" fontId="30" fillId="0" borderId="17" xfId="0" applyFont="1" applyBorder="1" applyAlignment="1">
      <alignment horizontal="left" vertical="center"/>
    </xf>
    <xf numFmtId="3" fontId="10" fillId="0" borderId="8" xfId="0" applyNumberFormat="1" applyFont="1" applyBorder="1" applyAlignment="1">
      <alignment horizontal="left" vertical="center"/>
    </xf>
    <xf numFmtId="0" fontId="10" fillId="0" borderId="18" xfId="0" applyFont="1" applyBorder="1" applyAlignment="1">
      <alignment horizontal="left" vertical="center"/>
    </xf>
    <xf numFmtId="0" fontId="30" fillId="0" borderId="0" xfId="0" applyFont="1" applyAlignment="1">
      <alignment horizontal="left"/>
    </xf>
    <xf numFmtId="0" fontId="30" fillId="0" borderId="19" xfId="0" applyFont="1" applyBorder="1" applyAlignment="1">
      <alignment horizontal="left" vertical="center"/>
    </xf>
    <xf numFmtId="0" fontId="10" fillId="0" borderId="20" xfId="0" applyFont="1" applyBorder="1" applyAlignment="1">
      <alignment horizontal="left" vertical="center"/>
    </xf>
    <xf numFmtId="0" fontId="30" fillId="0" borderId="21" xfId="0" applyFont="1" applyBorder="1" applyAlignment="1">
      <alignment horizontal="left" vertical="center"/>
    </xf>
    <xf numFmtId="3" fontId="0" fillId="0" borderId="4" xfId="0" applyNumberFormat="1" applyBorder="1" applyAlignment="1">
      <alignment horizontal="left" vertical="center"/>
    </xf>
    <xf numFmtId="0" fontId="10" fillId="0" borderId="22" xfId="0" applyFont="1" applyBorder="1" applyAlignment="1">
      <alignment horizontal="left" vertical="center"/>
    </xf>
    <xf numFmtId="0" fontId="30" fillId="0" borderId="23" xfId="0" applyFont="1" applyBorder="1" applyAlignment="1">
      <alignment horizontal="left" vertical="center"/>
    </xf>
    <xf numFmtId="3" fontId="10" fillId="0" borderId="24" xfId="0" applyNumberFormat="1" applyFont="1" applyBorder="1" applyAlignment="1">
      <alignment horizontal="left"/>
    </xf>
    <xf numFmtId="0" fontId="29" fillId="2" borderId="23" xfId="0" applyFont="1" applyFill="1" applyBorder="1" applyAlignment="1">
      <alignment horizontal="left" vertical="center"/>
    </xf>
    <xf numFmtId="3" fontId="9" fillId="2" borderId="24" xfId="0" applyNumberFormat="1" applyFont="1" applyFill="1" applyBorder="1" applyAlignment="1">
      <alignment horizontal="left"/>
    </xf>
    <xf numFmtId="3" fontId="10" fillId="0" borderId="25" xfId="0" applyNumberFormat="1" applyFont="1" applyBorder="1" applyAlignment="1">
      <alignment horizontal="left"/>
    </xf>
    <xf numFmtId="0" fontId="29" fillId="18" borderId="8" xfId="0" applyFont="1" applyFill="1" applyBorder="1" applyAlignment="1">
      <alignment horizontal="left"/>
    </xf>
    <xf numFmtId="0" fontId="30" fillId="18" borderId="8" xfId="0" applyFont="1" applyFill="1" applyBorder="1" applyAlignment="1">
      <alignment horizontal="left"/>
    </xf>
    <xf numFmtId="3" fontId="9" fillId="18" borderId="8" xfId="0" applyNumberFormat="1" applyFont="1" applyFill="1" applyBorder="1" applyAlignment="1">
      <alignment horizontal="left"/>
    </xf>
    <xf numFmtId="0" fontId="10" fillId="0" borderId="8" xfId="0" applyFont="1" applyBorder="1" applyAlignment="1">
      <alignment horizontal="left"/>
    </xf>
    <xf numFmtId="0" fontId="31" fillId="0" borderId="0" xfId="0" applyFont="1" applyAlignment="1">
      <alignment horizontal="left"/>
    </xf>
    <xf numFmtId="0" fontId="32" fillId="0" borderId="0" xfId="0" applyFont="1" applyAlignment="1">
      <alignment horizontal="left"/>
    </xf>
    <xf numFmtId="0" fontId="29" fillId="0" borderId="4" xfId="0" applyFont="1" applyBorder="1" applyAlignment="1">
      <alignment horizontal="left"/>
    </xf>
    <xf numFmtId="3" fontId="31" fillId="0" borderId="0" xfId="0" applyNumberFormat="1" applyFont="1" applyAlignment="1">
      <alignment horizontal="left"/>
    </xf>
    <xf numFmtId="0" fontId="31" fillId="0" borderId="4" xfId="0" applyFont="1" applyBorder="1" applyAlignment="1">
      <alignment horizontal="left"/>
    </xf>
    <xf numFmtId="3" fontId="30" fillId="0" borderId="0" xfId="0" applyNumberFormat="1" applyFont="1" applyAlignment="1">
      <alignment horizontal="left"/>
    </xf>
    <xf numFmtId="2" fontId="30" fillId="0" borderId="0" xfId="0" applyNumberFormat="1" applyFont="1" applyAlignment="1">
      <alignment horizontal="left"/>
    </xf>
    <xf numFmtId="3" fontId="33" fillId="0" borderId="4" xfId="0" applyNumberFormat="1" applyFont="1" applyBorder="1" applyAlignment="1">
      <alignment horizontal="left"/>
    </xf>
    <xf numFmtId="0" fontId="30" fillId="21" borderId="0" xfId="0" applyFont="1" applyFill="1" applyAlignment="1">
      <alignment horizontal="left"/>
    </xf>
    <xf numFmtId="2" fontId="10" fillId="0" borderId="0" xfId="0" applyNumberFormat="1" applyFont="1" applyAlignment="1">
      <alignment horizontal="left"/>
    </xf>
    <xf numFmtId="0" fontId="29" fillId="18" borderId="4" xfId="0" applyFont="1" applyFill="1" applyBorder="1" applyAlignment="1">
      <alignment horizontal="left" vertical="center"/>
    </xf>
    <xf numFmtId="0" fontId="31" fillId="0" borderId="4" xfId="0" applyFont="1" applyBorder="1" applyAlignment="1">
      <alignment horizontal="left" vertical="center" wrapText="1"/>
    </xf>
    <xf numFmtId="3" fontId="31" fillId="0" borderId="4" xfId="0" applyNumberFormat="1" applyFont="1" applyBorder="1" applyAlignment="1">
      <alignment horizontal="left" vertical="center"/>
    </xf>
    <xf numFmtId="3" fontId="31" fillId="0" borderId="4" xfId="0" applyNumberFormat="1" applyFont="1" applyBorder="1" applyAlignment="1">
      <alignment horizontal="left"/>
    </xf>
    <xf numFmtId="0" fontId="31" fillId="0" borderId="4" xfId="0" applyFont="1" applyBorder="1"/>
    <xf numFmtId="3" fontId="29" fillId="18" borderId="4" xfId="0" applyNumberFormat="1" applyFont="1" applyFill="1" applyBorder="1" applyAlignment="1">
      <alignment horizontal="left"/>
    </xf>
    <xf numFmtId="0" fontId="29" fillId="5" borderId="4" xfId="0" applyFont="1" applyFill="1" applyBorder="1" applyAlignment="1">
      <alignment horizontal="left" vertical="center"/>
    </xf>
    <xf numFmtId="0" fontId="29" fillId="5" borderId="4" xfId="0" applyFont="1" applyFill="1" applyBorder="1" applyAlignment="1">
      <alignment horizontal="left"/>
    </xf>
    <xf numFmtId="3" fontId="29" fillId="5" borderId="4" xfId="0" applyNumberFormat="1" applyFont="1" applyFill="1" applyBorder="1" applyAlignment="1">
      <alignment horizontal="left"/>
    </xf>
    <xf numFmtId="0" fontId="29" fillId="22" borderId="4" xfId="0" applyFont="1" applyFill="1" applyBorder="1" applyAlignment="1">
      <alignment horizontal="left"/>
    </xf>
    <xf numFmtId="3" fontId="10" fillId="22" borderId="4" xfId="0" applyNumberFormat="1" applyFont="1" applyFill="1" applyBorder="1" applyAlignment="1">
      <alignment horizontal="left"/>
    </xf>
    <xf numFmtId="0" fontId="29" fillId="19" borderId="4" xfId="0" applyFont="1" applyFill="1" applyBorder="1" applyAlignment="1">
      <alignment horizontal="left"/>
    </xf>
    <xf numFmtId="3" fontId="10" fillId="19" borderId="4" xfId="0" applyNumberFormat="1" applyFont="1" applyFill="1" applyBorder="1" applyAlignment="1">
      <alignment horizontal="left"/>
    </xf>
    <xf numFmtId="0" fontId="29" fillId="23" borderId="4" xfId="0" applyFont="1" applyFill="1" applyBorder="1" applyAlignment="1">
      <alignment horizontal="left"/>
    </xf>
    <xf numFmtId="3" fontId="10" fillId="23" borderId="4" xfId="0" applyNumberFormat="1" applyFont="1" applyFill="1" applyBorder="1" applyAlignment="1">
      <alignment horizontal="left"/>
    </xf>
    <xf numFmtId="0" fontId="31" fillId="0" borderId="4" xfId="0" applyFont="1" applyBorder="1" applyAlignment="1">
      <alignment horizontal="left" vertical="center"/>
    </xf>
    <xf numFmtId="0" fontId="34" fillId="2" borderId="4" xfId="0" applyFont="1" applyFill="1" applyBorder="1" applyAlignment="1">
      <alignment horizontal="left"/>
    </xf>
    <xf numFmtId="0" fontId="35" fillId="2" borderId="4" xfId="0" applyFont="1" applyFill="1" applyBorder="1" applyAlignment="1">
      <alignment horizontal="left"/>
    </xf>
    <xf numFmtId="10" fontId="36" fillId="2" borderId="4" xfId="0" applyNumberFormat="1" applyFont="1" applyFill="1" applyBorder="1" applyAlignment="1">
      <alignment horizontal="left"/>
    </xf>
    <xf numFmtId="0" fontId="36" fillId="2" borderId="4" xfId="0" applyFont="1" applyFill="1" applyBorder="1" applyAlignment="1">
      <alignment horizontal="left"/>
    </xf>
    <xf numFmtId="10" fontId="36" fillId="2" borderId="4" xfId="6" applyNumberFormat="1" applyFont="1" applyFill="1" applyBorder="1" applyAlignment="1">
      <alignment horizontal="left"/>
    </xf>
    <xf numFmtId="0" fontId="34" fillId="7" borderId="26" xfId="0" applyFont="1" applyFill="1" applyBorder="1" applyAlignment="1">
      <alignment horizontal="center" vertical="center"/>
    </xf>
    <xf numFmtId="0" fontId="34" fillId="16" borderId="26" xfId="0" applyFont="1" applyFill="1" applyBorder="1" applyAlignment="1">
      <alignment horizontal="center" vertical="center"/>
    </xf>
    <xf numFmtId="0" fontId="34" fillId="24" borderId="26" xfId="0" applyFont="1" applyFill="1" applyBorder="1"/>
    <xf numFmtId="0" fontId="34" fillId="16" borderId="26" xfId="0" applyFont="1" applyFill="1" applyBorder="1" applyAlignment="1">
      <alignment horizontal="center" vertical="center" wrapText="1"/>
    </xf>
    <xf numFmtId="0" fontId="34" fillId="14" borderId="26" xfId="0" applyFont="1" applyFill="1" applyBorder="1" applyAlignment="1">
      <alignment horizontal="center" vertical="center"/>
    </xf>
    <xf numFmtId="38" fontId="34" fillId="16" borderId="26" xfId="0" applyNumberFormat="1" applyFont="1" applyFill="1" applyBorder="1" applyAlignment="1">
      <alignment horizontal="center" vertical="center"/>
    </xf>
    <xf numFmtId="0" fontId="34" fillId="16" borderId="26" xfId="0" applyFont="1" applyFill="1" applyBorder="1" applyAlignment="1">
      <alignment horizontal="left" vertical="center"/>
    </xf>
    <xf numFmtId="37" fontId="34" fillId="16" borderId="26" xfId="0" applyNumberFormat="1" applyFont="1" applyFill="1" applyBorder="1" applyAlignment="1">
      <alignment vertical="center"/>
    </xf>
    <xf numFmtId="0" fontId="34" fillId="16" borderId="27" xfId="0" applyFont="1" applyFill="1" applyBorder="1" applyAlignment="1">
      <alignment horizontal="center" vertical="center"/>
    </xf>
    <xf numFmtId="0" fontId="34" fillId="7" borderId="4" xfId="0" applyFont="1" applyFill="1" applyBorder="1" applyAlignment="1">
      <alignment horizontal="center" vertical="center"/>
    </xf>
    <xf numFmtId="0" fontId="34" fillId="16" borderId="4" xfId="0" applyFont="1" applyFill="1" applyBorder="1" applyAlignment="1">
      <alignment horizontal="center" vertical="center"/>
    </xf>
    <xf numFmtId="0" fontId="34" fillId="24" borderId="4" xfId="0" applyFont="1" applyFill="1" applyBorder="1"/>
    <xf numFmtId="167" fontId="34" fillId="16" borderId="4" xfId="0" applyNumberFormat="1" applyFont="1" applyFill="1" applyBorder="1" applyAlignment="1">
      <alignment horizontal="center" vertical="center"/>
    </xf>
    <xf numFmtId="0" fontId="34" fillId="16" borderId="1" xfId="0" applyFont="1" applyFill="1" applyBorder="1" applyAlignment="1">
      <alignment horizontal="center" vertical="center"/>
    </xf>
    <xf numFmtId="0" fontId="34" fillId="16" borderId="30" xfId="0" applyFont="1" applyFill="1" applyBorder="1" applyAlignment="1">
      <alignment horizontal="center" vertical="center"/>
    </xf>
    <xf numFmtId="0" fontId="34" fillId="24" borderId="0" xfId="0" applyFont="1" applyFill="1"/>
    <xf numFmtId="0" fontId="34" fillId="14" borderId="30" xfId="0" applyFont="1" applyFill="1" applyBorder="1" applyAlignment="1">
      <alignment horizontal="center" vertical="center"/>
    </xf>
    <xf numFmtId="38" fontId="34" fillId="16" borderId="30" xfId="0" applyNumberFormat="1" applyFont="1" applyFill="1" applyBorder="1" applyAlignment="1">
      <alignment horizontal="center" vertical="center"/>
    </xf>
    <xf numFmtId="0" fontId="34" fillId="7" borderId="30" xfId="0" applyFont="1" applyFill="1" applyBorder="1" applyAlignment="1">
      <alignment horizontal="center" vertical="center"/>
    </xf>
    <xf numFmtId="0" fontId="34" fillId="29" borderId="30" xfId="0" applyFont="1" applyFill="1" applyBorder="1" applyAlignment="1">
      <alignment horizontal="center" vertical="center"/>
    </xf>
    <xf numFmtId="169" fontId="34" fillId="16" borderId="30" xfId="0" applyNumberFormat="1" applyFont="1" applyFill="1" applyBorder="1" applyAlignment="1">
      <alignment horizontal="center" vertical="center"/>
    </xf>
    <xf numFmtId="167" fontId="34" fillId="16" borderId="30" xfId="0" applyNumberFormat="1" applyFont="1" applyFill="1" applyBorder="1" applyAlignment="1">
      <alignment horizontal="center" vertical="center"/>
    </xf>
    <xf numFmtId="37" fontId="34" fillId="16" borderId="30" xfId="0" applyNumberFormat="1" applyFont="1" applyFill="1" applyBorder="1" applyAlignment="1">
      <alignment horizontal="left" vertical="center"/>
    </xf>
    <xf numFmtId="37" fontId="34" fillId="16" borderId="11" xfId="0" applyNumberFormat="1" applyFont="1" applyFill="1" applyBorder="1" applyAlignment="1">
      <alignment horizontal="center" vertical="center"/>
    </xf>
    <xf numFmtId="0" fontId="34" fillId="16" borderId="31" xfId="0" applyFont="1" applyFill="1" applyBorder="1" applyAlignment="1">
      <alignment horizontal="center" vertical="center"/>
    </xf>
    <xf numFmtId="0" fontId="0" fillId="17" borderId="4" xfId="0" applyFill="1" applyBorder="1"/>
    <xf numFmtId="37" fontId="6" fillId="11" borderId="9" xfId="0" applyNumberFormat="1" applyFont="1" applyFill="1" applyBorder="1" applyAlignment="1">
      <alignment horizontal="center" vertical="center"/>
    </xf>
    <xf numFmtId="0" fontId="3" fillId="30" borderId="12" xfId="0" applyFont="1" applyFill="1" applyBorder="1" applyAlignment="1">
      <alignment horizontal="center" vertical="center"/>
    </xf>
    <xf numFmtId="0" fontId="3" fillId="30" borderId="11" xfId="0" applyFont="1" applyFill="1" applyBorder="1" applyAlignment="1">
      <alignment horizontal="center" vertical="center"/>
    </xf>
    <xf numFmtId="0" fontId="6" fillId="30" borderId="11" xfId="0" applyFont="1" applyFill="1" applyBorder="1" applyAlignment="1">
      <alignment horizontal="center" vertical="center"/>
    </xf>
    <xf numFmtId="0" fontId="6" fillId="30" borderId="9" xfId="0" applyFont="1" applyFill="1" applyBorder="1" applyAlignment="1">
      <alignment horizontal="center" vertical="center"/>
    </xf>
    <xf numFmtId="3" fontId="6" fillId="30" borderId="11" xfId="0" applyNumberFormat="1" applyFont="1" applyFill="1" applyBorder="1" applyAlignment="1">
      <alignment horizontal="center"/>
    </xf>
    <xf numFmtId="3" fontId="21" fillId="30" borderId="11" xfId="0" applyNumberFormat="1" applyFont="1" applyFill="1" applyBorder="1" applyAlignment="1">
      <alignment horizontal="center"/>
    </xf>
    <xf numFmtId="38" fontId="6" fillId="30" borderId="11" xfId="0" applyNumberFormat="1" applyFont="1" applyFill="1" applyBorder="1" applyAlignment="1">
      <alignment horizontal="center" vertical="center"/>
    </xf>
    <xf numFmtId="3" fontId="6" fillId="30" borderId="11" xfId="0" applyNumberFormat="1" applyFont="1" applyFill="1" applyBorder="1" applyAlignment="1">
      <alignment horizontal="center" vertical="center"/>
    </xf>
    <xf numFmtId="0" fontId="22" fillId="30" borderId="11" xfId="0" applyFont="1" applyFill="1" applyBorder="1" applyAlignment="1">
      <alignment horizontal="center"/>
    </xf>
    <xf numFmtId="167" fontId="6" fillId="30" borderId="11" xfId="0" applyNumberFormat="1" applyFont="1" applyFill="1" applyBorder="1" applyAlignment="1">
      <alignment horizontal="center" vertical="center"/>
    </xf>
    <xf numFmtId="0" fontId="6" fillId="30" borderId="13" xfId="0" applyFont="1" applyFill="1" applyBorder="1" applyAlignment="1">
      <alignment horizontal="center" vertical="center"/>
    </xf>
    <xf numFmtId="167" fontId="6" fillId="30" borderId="11" xfId="0" applyNumberFormat="1" applyFont="1" applyFill="1" applyBorder="1"/>
    <xf numFmtId="167" fontId="6" fillId="30" borderId="11" xfId="0" applyNumberFormat="1" applyFont="1" applyFill="1" applyBorder="1" applyAlignment="1">
      <alignment horizontal="center"/>
    </xf>
    <xf numFmtId="37" fontId="6" fillId="11" borderId="11" xfId="0" applyNumberFormat="1" applyFont="1" applyFill="1" applyBorder="1" applyAlignment="1">
      <alignment horizontal="center" vertical="center"/>
    </xf>
    <xf numFmtId="0" fontId="23" fillId="30" borderId="11" xfId="0" applyFont="1" applyFill="1" applyBorder="1" applyAlignment="1">
      <alignment horizontal="center"/>
    </xf>
    <xf numFmtId="37" fontId="11" fillId="30" borderId="11" xfId="0" applyNumberFormat="1" applyFont="1" applyFill="1" applyBorder="1" applyAlignment="1">
      <alignment horizontal="center" wrapText="1"/>
    </xf>
    <xf numFmtId="3" fontId="6" fillId="30" borderId="11" xfId="0" applyNumberFormat="1" applyFont="1" applyFill="1" applyBorder="1" applyAlignment="1">
      <alignment horizontal="center" vertical="center" wrapText="1"/>
    </xf>
    <xf numFmtId="168" fontId="6" fillId="30" borderId="11" xfId="0" applyNumberFormat="1" applyFont="1" applyFill="1" applyBorder="1" applyAlignment="1">
      <alignment horizontal="center" vertical="center"/>
    </xf>
    <xf numFmtId="0" fontId="3" fillId="30" borderId="9" xfId="0" applyFont="1" applyFill="1" applyBorder="1" applyAlignment="1">
      <alignment horizontal="center" vertical="center"/>
    </xf>
    <xf numFmtId="3" fontId="6" fillId="30" borderId="10" xfId="0" applyNumberFormat="1" applyFont="1" applyFill="1" applyBorder="1" applyAlignment="1">
      <alignment horizontal="center"/>
    </xf>
    <xf numFmtId="3" fontId="6" fillId="30" borderId="9" xfId="0" applyNumberFormat="1" applyFont="1" applyFill="1" applyBorder="1" applyAlignment="1">
      <alignment horizontal="center"/>
    </xf>
    <xf numFmtId="3" fontId="21" fillId="30" borderId="10" xfId="0" applyNumberFormat="1" applyFont="1" applyFill="1" applyBorder="1" applyAlignment="1">
      <alignment horizontal="center"/>
    </xf>
    <xf numFmtId="38" fontId="6" fillId="30" borderId="9" xfId="0" applyNumberFormat="1" applyFont="1" applyFill="1" applyBorder="1" applyAlignment="1">
      <alignment horizontal="center" vertical="center"/>
    </xf>
    <xf numFmtId="3" fontId="6" fillId="30" borderId="9" xfId="0" applyNumberFormat="1" applyFont="1" applyFill="1" applyBorder="1" applyAlignment="1">
      <alignment horizontal="center" vertical="center"/>
    </xf>
    <xf numFmtId="0" fontId="22" fillId="30" borderId="9" xfId="0" applyFont="1" applyFill="1" applyBorder="1" applyAlignment="1">
      <alignment horizontal="center"/>
    </xf>
    <xf numFmtId="167" fontId="6" fillId="30" borderId="9" xfId="0" applyNumberFormat="1" applyFont="1" applyFill="1" applyBorder="1" applyAlignment="1">
      <alignment horizontal="center" vertical="center"/>
    </xf>
    <xf numFmtId="3" fontId="6" fillId="30" borderId="9" xfId="0" applyNumberFormat="1" applyFont="1" applyFill="1" applyBorder="1" applyAlignment="1">
      <alignment horizontal="center" vertical="center" wrapText="1"/>
    </xf>
    <xf numFmtId="168" fontId="6" fillId="30" borderId="9" xfId="0" applyNumberFormat="1" applyFont="1" applyFill="1" applyBorder="1" applyAlignment="1">
      <alignment horizontal="center" vertical="center"/>
    </xf>
    <xf numFmtId="3" fontId="21" fillId="30" borderId="9" xfId="0" applyNumberFormat="1" applyFont="1" applyFill="1" applyBorder="1" applyAlignment="1">
      <alignment horizontal="center"/>
    </xf>
    <xf numFmtId="0" fontId="22" fillId="30" borderId="12" xfId="0" applyFont="1" applyFill="1" applyBorder="1" applyAlignment="1">
      <alignment horizontal="center"/>
    </xf>
    <xf numFmtId="3" fontId="22" fillId="30" borderId="9" xfId="0" applyNumberFormat="1" applyFont="1" applyFill="1" applyBorder="1" applyAlignment="1">
      <alignment horizontal="center"/>
    </xf>
    <xf numFmtId="0" fontId="37" fillId="30" borderId="9" xfId="0" applyFont="1" applyFill="1" applyBorder="1" applyAlignment="1">
      <alignment horizontal="center" vertical="center"/>
    </xf>
    <xf numFmtId="0" fontId="38" fillId="30" borderId="9" xfId="0" applyFont="1" applyFill="1" applyBorder="1" applyAlignment="1">
      <alignment horizontal="center" vertical="center"/>
    </xf>
    <xf numFmtId="3" fontId="38" fillId="30" borderId="10" xfId="0" applyNumberFormat="1" applyFont="1" applyFill="1" applyBorder="1" applyAlignment="1">
      <alignment horizontal="center"/>
    </xf>
    <xf numFmtId="3" fontId="38" fillId="30" borderId="9" xfId="0" applyNumberFormat="1" applyFont="1" applyFill="1" applyBorder="1" applyAlignment="1">
      <alignment horizontal="center"/>
    </xf>
    <xf numFmtId="38" fontId="38" fillId="30" borderId="9" xfId="0" applyNumberFormat="1" applyFont="1" applyFill="1" applyBorder="1" applyAlignment="1">
      <alignment horizontal="center" vertical="center"/>
    </xf>
    <xf numFmtId="3" fontId="38" fillId="30" borderId="9" xfId="0" applyNumberFormat="1" applyFont="1" applyFill="1" applyBorder="1" applyAlignment="1">
      <alignment horizontal="center" vertical="center"/>
    </xf>
    <xf numFmtId="0" fontId="39" fillId="30" borderId="9" xfId="0" applyFont="1" applyFill="1" applyBorder="1" applyAlignment="1">
      <alignment horizontal="center"/>
    </xf>
    <xf numFmtId="167" fontId="38" fillId="30" borderId="9" xfId="0" applyNumberFormat="1" applyFont="1" applyFill="1" applyBorder="1" applyAlignment="1">
      <alignment horizontal="center" vertical="center"/>
    </xf>
    <xf numFmtId="0" fontId="38" fillId="30" borderId="11" xfId="0" applyFont="1" applyFill="1" applyBorder="1" applyAlignment="1">
      <alignment horizontal="center" vertical="center"/>
    </xf>
    <xf numFmtId="167" fontId="38" fillId="30" borderId="11" xfId="0" applyNumberFormat="1" applyFont="1" applyFill="1" applyBorder="1"/>
    <xf numFmtId="167" fontId="38" fillId="30" borderId="11" xfId="0" applyNumberFormat="1" applyFont="1" applyFill="1" applyBorder="1" applyAlignment="1">
      <alignment horizontal="center"/>
    </xf>
    <xf numFmtId="37" fontId="38" fillId="11" borderId="9" xfId="0" applyNumberFormat="1" applyFont="1" applyFill="1" applyBorder="1" applyAlignment="1">
      <alignment horizontal="center" vertical="center"/>
    </xf>
    <xf numFmtId="0" fontId="40" fillId="30" borderId="11" xfId="0" applyFont="1" applyFill="1" applyBorder="1" applyAlignment="1">
      <alignment horizontal="center"/>
    </xf>
    <xf numFmtId="37" fontId="41" fillId="30" borderId="11" xfId="0" applyNumberFormat="1" applyFont="1" applyFill="1" applyBorder="1" applyAlignment="1">
      <alignment horizontal="center" wrapText="1"/>
    </xf>
    <xf numFmtId="3" fontId="38" fillId="30" borderId="9" xfId="0" applyNumberFormat="1" applyFont="1" applyFill="1" applyBorder="1" applyAlignment="1">
      <alignment horizontal="center" vertical="center" wrapText="1"/>
    </xf>
    <xf numFmtId="168" fontId="38" fillId="30" borderId="9" xfId="0" applyNumberFormat="1" applyFont="1" applyFill="1" applyBorder="1" applyAlignment="1">
      <alignment horizontal="center" vertical="center"/>
    </xf>
    <xf numFmtId="3" fontId="38" fillId="30" borderId="11" xfId="0" applyNumberFormat="1" applyFont="1" applyFill="1" applyBorder="1" applyAlignment="1">
      <alignment horizontal="center" vertical="center"/>
    </xf>
    <xf numFmtId="3" fontId="42" fillId="30" borderId="10" xfId="0" applyNumberFormat="1" applyFont="1" applyFill="1" applyBorder="1" applyAlignment="1">
      <alignment horizontal="center"/>
    </xf>
    <xf numFmtId="3" fontId="42" fillId="30" borderId="9" xfId="0" applyNumberFormat="1" applyFont="1" applyFill="1" applyBorder="1" applyAlignment="1">
      <alignment horizontal="center"/>
    </xf>
    <xf numFmtId="0" fontId="39" fillId="30" borderId="12" xfId="0" applyFont="1" applyFill="1" applyBorder="1" applyAlignment="1">
      <alignment horizontal="center"/>
    </xf>
    <xf numFmtId="3" fontId="38" fillId="30" borderId="11" xfId="0" applyNumberFormat="1" applyFont="1" applyFill="1" applyBorder="1" applyAlignment="1">
      <alignment horizontal="center"/>
    </xf>
    <xf numFmtId="3" fontId="42" fillId="30" borderId="11" xfId="0" applyNumberFormat="1" applyFont="1" applyFill="1" applyBorder="1" applyAlignment="1">
      <alignment horizontal="center"/>
    </xf>
    <xf numFmtId="3" fontId="39" fillId="30" borderId="9" xfId="0" applyNumberFormat="1" applyFont="1" applyFill="1" applyBorder="1" applyAlignment="1">
      <alignment horizontal="center"/>
    </xf>
    <xf numFmtId="37" fontId="6" fillId="0" borderId="11" xfId="0" applyNumberFormat="1" applyFont="1" applyBorder="1" applyAlignment="1">
      <alignment horizontal="center" vertical="center"/>
    </xf>
    <xf numFmtId="0" fontId="37" fillId="30" borderId="12" xfId="0" applyFont="1" applyFill="1" applyBorder="1" applyAlignment="1">
      <alignment horizontal="center" vertical="center"/>
    </xf>
    <xf numFmtId="0" fontId="37" fillId="30" borderId="11" xfId="0" applyFont="1" applyFill="1" applyBorder="1" applyAlignment="1">
      <alignment horizontal="center" vertical="center"/>
    </xf>
    <xf numFmtId="38" fontId="38" fillId="30" borderId="11" xfId="0" applyNumberFormat="1" applyFont="1" applyFill="1" applyBorder="1" applyAlignment="1">
      <alignment horizontal="center" vertical="center"/>
    </xf>
    <xf numFmtId="0" fontId="39" fillId="30" borderId="11" xfId="0" applyFont="1" applyFill="1" applyBorder="1" applyAlignment="1">
      <alignment horizontal="center"/>
    </xf>
    <xf numFmtId="167" fontId="38" fillId="30" borderId="11" xfId="0" applyNumberFormat="1" applyFont="1" applyFill="1" applyBorder="1" applyAlignment="1">
      <alignment horizontal="center" vertical="center"/>
    </xf>
    <xf numFmtId="37" fontId="38" fillId="11" borderId="11" xfId="0" applyNumberFormat="1" applyFont="1" applyFill="1" applyBorder="1" applyAlignment="1">
      <alignment horizontal="center" vertical="center"/>
    </xf>
    <xf numFmtId="3" fontId="38" fillId="30" borderId="11" xfId="0" applyNumberFormat="1" applyFont="1" applyFill="1" applyBorder="1" applyAlignment="1">
      <alignment horizontal="center" vertical="center" wrapText="1"/>
    </xf>
    <xf numFmtId="168" fontId="38" fillId="30" borderId="11" xfId="0" applyNumberFormat="1" applyFont="1" applyFill="1" applyBorder="1" applyAlignment="1">
      <alignment horizontal="center" vertical="center"/>
    </xf>
    <xf numFmtId="1" fontId="38" fillId="30" borderId="11" xfId="0" applyNumberFormat="1" applyFont="1" applyFill="1" applyBorder="1" applyAlignment="1">
      <alignment horizontal="center" vertical="center"/>
    </xf>
    <xf numFmtId="1" fontId="6" fillId="30" borderId="11" xfId="0" applyNumberFormat="1" applyFont="1" applyFill="1" applyBorder="1" applyAlignment="1">
      <alignment horizontal="center" vertical="center"/>
    </xf>
    <xf numFmtId="0" fontId="43" fillId="30" borderId="12" xfId="0" applyFont="1" applyFill="1" applyBorder="1" applyAlignment="1">
      <alignment horizontal="center" vertical="center"/>
    </xf>
    <xf numFmtId="0" fontId="43" fillId="30" borderId="11" xfId="0" applyFont="1" applyFill="1" applyBorder="1" applyAlignment="1">
      <alignment horizontal="center" vertical="center"/>
    </xf>
    <xf numFmtId="0" fontId="44" fillId="30" borderId="11" xfId="0" applyFont="1" applyFill="1" applyBorder="1" applyAlignment="1">
      <alignment horizontal="center" vertical="center"/>
    </xf>
    <xf numFmtId="0" fontId="44" fillId="30" borderId="9" xfId="0" applyFont="1" applyFill="1" applyBorder="1" applyAlignment="1">
      <alignment horizontal="center" vertical="center"/>
    </xf>
    <xf numFmtId="3" fontId="44" fillId="30" borderId="11" xfId="0" applyNumberFormat="1" applyFont="1" applyFill="1" applyBorder="1" applyAlignment="1">
      <alignment horizontal="center"/>
    </xf>
    <xf numFmtId="38" fontId="44" fillId="30" borderId="11" xfId="0" applyNumberFormat="1" applyFont="1" applyFill="1" applyBorder="1" applyAlignment="1">
      <alignment horizontal="center" vertical="center"/>
    </xf>
    <xf numFmtId="3" fontId="44" fillId="30" borderId="11" xfId="0" applyNumberFormat="1" applyFont="1" applyFill="1" applyBorder="1" applyAlignment="1">
      <alignment horizontal="center" vertical="center"/>
    </xf>
    <xf numFmtId="0" fontId="45" fillId="30" borderId="11" xfId="0" applyFont="1" applyFill="1" applyBorder="1" applyAlignment="1">
      <alignment horizontal="center"/>
    </xf>
    <xf numFmtId="3" fontId="44" fillId="30" borderId="9" xfId="0" applyNumberFormat="1" applyFont="1" applyFill="1" applyBorder="1" applyAlignment="1">
      <alignment horizontal="center" vertical="center"/>
    </xf>
    <xf numFmtId="167" fontId="44" fillId="30" borderId="11" xfId="0" applyNumberFormat="1" applyFont="1" applyFill="1" applyBorder="1" applyAlignment="1">
      <alignment horizontal="center" vertical="center"/>
    </xf>
    <xf numFmtId="167" fontId="44" fillId="30" borderId="11" xfId="0" applyNumberFormat="1" applyFont="1" applyFill="1" applyBorder="1"/>
    <xf numFmtId="167" fontId="44" fillId="30" borderId="11" xfId="0" applyNumberFormat="1" applyFont="1" applyFill="1" applyBorder="1" applyAlignment="1">
      <alignment horizontal="center"/>
    </xf>
    <xf numFmtId="37" fontId="44" fillId="11" borderId="11" xfId="0" applyNumberFormat="1" applyFont="1" applyFill="1" applyBorder="1" applyAlignment="1">
      <alignment horizontal="center" vertical="center"/>
    </xf>
    <xf numFmtId="0" fontId="46" fillId="30" borderId="11" xfId="0" applyFont="1" applyFill="1" applyBorder="1" applyAlignment="1">
      <alignment horizontal="center"/>
    </xf>
    <xf numFmtId="37" fontId="47" fillId="30" borderId="11" xfId="0" applyNumberFormat="1" applyFont="1" applyFill="1" applyBorder="1" applyAlignment="1">
      <alignment horizontal="center" wrapText="1"/>
    </xf>
    <xf numFmtId="3" fontId="44" fillId="30" borderId="11" xfId="0" applyNumberFormat="1" applyFont="1" applyFill="1" applyBorder="1" applyAlignment="1">
      <alignment horizontal="center" vertical="center" wrapText="1"/>
    </xf>
    <xf numFmtId="168" fontId="44" fillId="30" borderId="11" xfId="0" applyNumberFormat="1" applyFont="1" applyFill="1" applyBorder="1" applyAlignment="1">
      <alignment horizontal="center" vertical="center"/>
    </xf>
    <xf numFmtId="0" fontId="43" fillId="30" borderId="9" xfId="0" applyFont="1" applyFill="1" applyBorder="1" applyAlignment="1">
      <alignment horizontal="center" vertical="center"/>
    </xf>
    <xf numFmtId="3" fontId="44" fillId="30" borderId="10" xfId="0" applyNumberFormat="1" applyFont="1" applyFill="1" applyBorder="1" applyAlignment="1">
      <alignment horizontal="center"/>
    </xf>
    <xf numFmtId="3" fontId="44" fillId="30" borderId="9" xfId="0" applyNumberFormat="1" applyFont="1" applyFill="1" applyBorder="1" applyAlignment="1">
      <alignment horizontal="center"/>
    </xf>
    <xf numFmtId="38" fontId="44" fillId="30" borderId="9" xfId="0" applyNumberFormat="1" applyFont="1" applyFill="1" applyBorder="1" applyAlignment="1">
      <alignment horizontal="center" vertical="center"/>
    </xf>
    <xf numFmtId="0" fontId="45" fillId="30" borderId="9" xfId="0" applyFont="1" applyFill="1" applyBorder="1" applyAlignment="1">
      <alignment horizontal="center"/>
    </xf>
    <xf numFmtId="167" fontId="44" fillId="30" borderId="9" xfId="0" applyNumberFormat="1" applyFont="1" applyFill="1" applyBorder="1" applyAlignment="1">
      <alignment horizontal="center" vertical="center"/>
    </xf>
    <xf numFmtId="37" fontId="44" fillId="11" borderId="9" xfId="0" applyNumberFormat="1" applyFont="1" applyFill="1" applyBorder="1" applyAlignment="1">
      <alignment horizontal="center" vertical="center"/>
    </xf>
    <xf numFmtId="3" fontId="44" fillId="30" borderId="9" xfId="0" applyNumberFormat="1" applyFont="1" applyFill="1" applyBorder="1" applyAlignment="1">
      <alignment horizontal="center" vertical="center" wrapText="1"/>
    </xf>
    <xf numFmtId="168" fontId="44" fillId="30" borderId="9" xfId="0" applyNumberFormat="1" applyFont="1" applyFill="1" applyBorder="1" applyAlignment="1">
      <alignment horizontal="center" vertical="center"/>
    </xf>
    <xf numFmtId="3" fontId="48" fillId="30" borderId="10" xfId="0" applyNumberFormat="1" applyFont="1" applyFill="1" applyBorder="1" applyAlignment="1">
      <alignment horizontal="center"/>
    </xf>
    <xf numFmtId="3" fontId="48" fillId="30" borderId="9" xfId="0" applyNumberFormat="1" applyFont="1" applyFill="1" applyBorder="1" applyAlignment="1">
      <alignment horizontal="center"/>
    </xf>
    <xf numFmtId="0" fontId="45" fillId="30" borderId="12" xfId="0" applyFont="1" applyFill="1" applyBorder="1" applyAlignment="1">
      <alignment horizontal="center"/>
    </xf>
    <xf numFmtId="3" fontId="48" fillId="30" borderId="11" xfId="0" applyNumberFormat="1" applyFont="1" applyFill="1" applyBorder="1" applyAlignment="1">
      <alignment horizontal="center"/>
    </xf>
    <xf numFmtId="3" fontId="45" fillId="30" borderId="9" xfId="0" applyNumberFormat="1" applyFont="1" applyFill="1" applyBorder="1" applyAlignment="1">
      <alignment horizontal="center"/>
    </xf>
    <xf numFmtId="1" fontId="44" fillId="30" borderId="11" xfId="0" applyNumberFormat="1" applyFont="1" applyFill="1" applyBorder="1" applyAlignment="1">
      <alignment horizontal="center" vertical="center"/>
    </xf>
    <xf numFmtId="0" fontId="29" fillId="0" borderId="5" xfId="0" applyFont="1" applyBorder="1" applyAlignment="1">
      <alignment horizontal="left" vertical="center"/>
    </xf>
    <xf numFmtId="0" fontId="29" fillId="0" borderId="16" xfId="0" applyFont="1" applyBorder="1" applyAlignment="1">
      <alignment horizontal="left" vertical="center"/>
    </xf>
    <xf numFmtId="0" fontId="28" fillId="2" borderId="4" xfId="0" applyFont="1" applyFill="1" applyBorder="1" applyAlignment="1">
      <alignment horizontal="center" vertical="center"/>
    </xf>
    <xf numFmtId="3" fontId="9" fillId="18" borderId="1" xfId="0" applyNumberFormat="1" applyFont="1" applyFill="1" applyBorder="1" applyAlignment="1">
      <alignment horizontal="center"/>
    </xf>
    <xf numFmtId="3" fontId="9" fillId="18" borderId="2" xfId="0" applyNumberFormat="1" applyFont="1" applyFill="1" applyBorder="1" applyAlignment="1">
      <alignment horizontal="center"/>
    </xf>
    <xf numFmtId="3" fontId="9" fillId="18" borderId="3" xfId="0" applyNumberFormat="1" applyFont="1" applyFill="1" applyBorder="1" applyAlignment="1">
      <alignment horizontal="center"/>
    </xf>
    <xf numFmtId="0" fontId="30" fillId="0" borderId="5" xfId="0" applyFont="1" applyBorder="1" applyAlignment="1">
      <alignment horizontal="left" vertical="center"/>
    </xf>
    <xf numFmtId="0" fontId="30" fillId="0" borderId="16" xfId="0" applyFont="1" applyBorder="1" applyAlignment="1">
      <alignment horizontal="left" vertical="center"/>
    </xf>
    <xf numFmtId="0" fontId="30" fillId="0" borderId="8" xfId="0" applyFont="1" applyBorder="1" applyAlignment="1">
      <alignment horizontal="left" vertical="center"/>
    </xf>
    <xf numFmtId="0" fontId="29" fillId="0" borderId="8" xfId="0" applyFont="1" applyBorder="1" applyAlignment="1">
      <alignment horizontal="left" vertical="center"/>
    </xf>
    <xf numFmtId="0" fontId="29" fillId="0" borderId="5" xfId="0" applyFont="1" applyBorder="1" applyAlignment="1">
      <alignment horizontal="center" vertical="center"/>
    </xf>
    <xf numFmtId="0" fontId="29" fillId="0" borderId="16" xfId="0" applyFont="1" applyBorder="1" applyAlignment="1">
      <alignment horizontal="center" vertical="center"/>
    </xf>
    <xf numFmtId="0" fontId="29" fillId="0" borderId="8" xfId="0" applyFont="1" applyBorder="1" applyAlignment="1">
      <alignment horizontal="center" vertical="center"/>
    </xf>
    <xf numFmtId="0" fontId="30" fillId="0" borderId="5" xfId="0" applyFont="1" applyBorder="1" applyAlignment="1">
      <alignment horizontal="center" vertical="center"/>
    </xf>
    <xf numFmtId="0" fontId="30" fillId="0" borderId="16" xfId="0" applyFont="1" applyBorder="1" applyAlignment="1">
      <alignment horizontal="center" vertical="center"/>
    </xf>
    <xf numFmtId="0" fontId="30" fillId="0" borderId="8" xfId="0" applyFont="1" applyBorder="1" applyAlignment="1">
      <alignment horizontal="center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3" xfId="1" applyFont="1" applyFill="1" applyBorder="1" applyAlignment="1">
      <alignment horizontal="left" vertical="center"/>
    </xf>
    <xf numFmtId="0" fontId="16" fillId="13" borderId="13" xfId="5" applyFont="1" applyFill="1" applyBorder="1" applyAlignment="1">
      <alignment horizontal="center"/>
    </xf>
    <xf numFmtId="0" fontId="18" fillId="0" borderId="13" xfId="5" applyFont="1" applyBorder="1"/>
    <xf numFmtId="0" fontId="18" fillId="0" borderId="11" xfId="5" applyFont="1" applyBorder="1"/>
    <xf numFmtId="169" fontId="16" fillId="13" borderId="13" xfId="5" applyNumberFormat="1" applyFont="1" applyFill="1" applyBorder="1" applyAlignment="1">
      <alignment horizontal="center"/>
    </xf>
    <xf numFmtId="0" fontId="16" fillId="14" borderId="13" xfId="5" applyFont="1" applyFill="1" applyBorder="1" applyAlignment="1">
      <alignment horizontal="center"/>
    </xf>
    <xf numFmtId="0" fontId="16" fillId="13" borderId="14" xfId="5" applyFont="1" applyFill="1" applyBorder="1" applyAlignment="1">
      <alignment horizontal="center" vertical="center"/>
    </xf>
    <xf numFmtId="0" fontId="18" fillId="0" borderId="15" xfId="5" applyFont="1" applyBorder="1"/>
    <xf numFmtId="0" fontId="18" fillId="0" borderId="10" xfId="5" applyFont="1" applyBorder="1"/>
    <xf numFmtId="168" fontId="16" fillId="13" borderId="13" xfId="5" applyNumberFormat="1" applyFont="1" applyFill="1" applyBorder="1" applyAlignment="1">
      <alignment horizontal="center"/>
    </xf>
    <xf numFmtId="0" fontId="34" fillId="6" borderId="27" xfId="0" applyFont="1" applyFill="1" applyBorder="1" applyAlignment="1">
      <alignment horizontal="center" vertical="center"/>
    </xf>
    <xf numFmtId="0" fontId="18" fillId="0" borderId="28" xfId="0" applyFont="1" applyBorder="1"/>
    <xf numFmtId="0" fontId="18" fillId="0" borderId="29" xfId="0" applyFont="1" applyBorder="1"/>
    <xf numFmtId="0" fontId="0" fillId="17" borderId="4" xfId="0" applyFill="1" applyBorder="1" applyAlignment="1">
      <alignment horizontal="center"/>
    </xf>
    <xf numFmtId="0" fontId="34" fillId="25" borderId="27" xfId="0" applyFont="1" applyFill="1" applyBorder="1" applyAlignment="1">
      <alignment horizontal="center" vertical="center"/>
    </xf>
    <xf numFmtId="0" fontId="34" fillId="26" borderId="27" xfId="0" applyFont="1" applyFill="1" applyBorder="1" applyAlignment="1">
      <alignment horizontal="center" vertical="center"/>
    </xf>
    <xf numFmtId="169" fontId="34" fillId="27" borderId="27" xfId="0" applyNumberFormat="1" applyFont="1" applyFill="1" applyBorder="1" applyAlignment="1">
      <alignment horizontal="center" vertical="center"/>
    </xf>
    <xf numFmtId="169" fontId="34" fillId="28" borderId="27" xfId="0" applyNumberFormat="1" applyFont="1" applyFill="1" applyBorder="1" applyAlignment="1">
      <alignment horizontal="center" vertical="center"/>
    </xf>
    <xf numFmtId="0" fontId="34" fillId="24" borderId="27" xfId="0" applyFont="1" applyFill="1" applyBorder="1" applyAlignment="1">
      <alignment horizontal="center" vertical="center"/>
    </xf>
    <xf numFmtId="0" fontId="34" fillId="29" borderId="27" xfId="0" applyFont="1" applyFill="1" applyBorder="1" applyAlignment="1">
      <alignment horizontal="center" vertical="center"/>
    </xf>
    <xf numFmtId="172" fontId="44" fillId="30" borderId="9" xfId="0" applyNumberFormat="1" applyFont="1" applyFill="1" applyBorder="1" applyAlignment="1">
      <alignment horizontal="center" vertical="center" wrapText="1"/>
    </xf>
    <xf numFmtId="172" fontId="44" fillId="30" borderId="9" xfId="0" applyNumberFormat="1" applyFont="1" applyFill="1" applyBorder="1" applyAlignment="1">
      <alignment horizontal="center" vertical="center"/>
    </xf>
  </cellXfs>
  <cellStyles count="9">
    <cellStyle name="Comma 10 2 4" xfId="2" xr:uid="{3F2BE794-4DB7-433E-A510-EC33DBEFD4FC}"/>
    <cellStyle name="Comma 3" xfId="8" xr:uid="{3572B968-51FA-4B7D-A486-B2375F945DCC}"/>
    <cellStyle name="Comma 3 6 2 2 3" xfId="3" xr:uid="{62E3C65D-D2F9-4730-80FE-B6B5A7806AF5}"/>
    <cellStyle name="Normal" xfId="0" builtinId="0"/>
    <cellStyle name="Normal 10" xfId="1" xr:uid="{88EE5C33-14B3-4DCB-9AEA-48131406E949}"/>
    <cellStyle name="Normal 13 2" xfId="4" xr:uid="{537CC7F6-6728-4C0C-9452-32573D8B742F}"/>
    <cellStyle name="Normal 2" xfId="5" xr:uid="{31A97B62-A8DA-4474-B9C8-818825D12AB4}"/>
    <cellStyle name="Normal 4" xfId="7" xr:uid="{31A3C00A-878B-4B79-AD0D-1B8FE3EE7649}"/>
    <cellStyle name="Percent" xfId="6" builtinId="5"/>
  </cellStyles>
  <dxfs count="11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26" Type="http://schemas.openxmlformats.org/officeDocument/2006/relationships/externalLink" Target="externalLinks/externalLink9.xml"/><Relationship Id="rId39" Type="http://schemas.openxmlformats.org/officeDocument/2006/relationships/sharedStrings" Target="sharedStrings.xml"/><Relationship Id="rId21" Type="http://schemas.openxmlformats.org/officeDocument/2006/relationships/externalLink" Target="externalLinks/externalLink4.xml"/><Relationship Id="rId34" Type="http://schemas.openxmlformats.org/officeDocument/2006/relationships/externalLink" Target="externalLinks/externalLink17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8.xml"/><Relationship Id="rId33" Type="http://schemas.openxmlformats.org/officeDocument/2006/relationships/externalLink" Target="externalLinks/externalLink16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3.xml"/><Relationship Id="rId29" Type="http://schemas.openxmlformats.org/officeDocument/2006/relationships/externalLink" Target="externalLinks/externalLink1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7.xml"/><Relationship Id="rId32" Type="http://schemas.openxmlformats.org/officeDocument/2006/relationships/externalLink" Target="externalLinks/externalLink15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6.xml"/><Relationship Id="rId28" Type="http://schemas.openxmlformats.org/officeDocument/2006/relationships/externalLink" Target="externalLinks/externalLink11.xml"/><Relationship Id="rId36" Type="http://schemas.openxmlformats.org/officeDocument/2006/relationships/externalLink" Target="externalLinks/externalLink19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2.xml"/><Relationship Id="rId31" Type="http://schemas.openxmlformats.org/officeDocument/2006/relationships/externalLink" Target="externalLinks/externalLink1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5.xml"/><Relationship Id="rId27" Type="http://schemas.openxmlformats.org/officeDocument/2006/relationships/externalLink" Target="externalLinks/externalLink10.xml"/><Relationship Id="rId30" Type="http://schemas.openxmlformats.org/officeDocument/2006/relationships/externalLink" Target="externalLinks/externalLink13.xml"/><Relationship Id="rId35" Type="http://schemas.openxmlformats.org/officeDocument/2006/relationships/externalLink" Target="externalLinks/externalLink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T&#192;I%20CH&#205;NH%20TH&#193;NG%207.2026/b&#7843;ng%20l&#432;&#417;ng%20th&#225;ng%207.xlsx" TargetMode="External"/><Relationship Id="rId2" Type="http://schemas.openxmlformats.org/officeDocument/2006/relationships/externalLinkPath" Target="file:///G:\ngoc%20oi\T&#192;I%20CH&#205;NH%20TH&#193;NG%207.2026\b&#7843;ng%20l&#432;&#417;ng%20th&#225;ng%207.xlsx" TargetMode="External"/><Relationship Id="rId1" Type="http://schemas.openxmlformats.org/officeDocument/2006/relationships/externalLinkPath" Target="/ngoc%20oi/T&#192;I%20CH&#205;NH%20TH&#193;NG%207.2026/b&#7843;ng%20l&#432;&#417;ng%20th&#225;ng%207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T&#192;I%20CH&#205;NH%20TH&#193;NG%207.2026/chi%20ph&#237;%20v&#259;n%20ph&#242;ng%20th&#225;ng%207.xlsx" TargetMode="External"/><Relationship Id="rId2" Type="http://schemas.openxmlformats.org/officeDocument/2006/relationships/externalLinkPath" Target="file:///G:\ngoc%20oi\T&#192;I%20CH&#205;NH%20TH&#193;NG%207.2026\chi%20ph&#237;%20v&#259;n%20ph&#242;ng%20th&#225;ng%207.xlsx" TargetMode="External"/><Relationship Id="rId1" Type="http://schemas.openxmlformats.org/officeDocument/2006/relationships/externalLinkPath" Target="/ngoc%20oi/T&#192;I%20CH&#205;NH%20TH&#193;NG%207.2026/chi%20ph&#237;%20v&#259;n%20ph&#242;ng%20th&#225;ng%207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T&#192;I%20CH&#205;NH%20TH&#193;NG%201.2026/b&#7843;ng%20l&#432;&#417;ng%20th&#225;ng%201.xlsx" TargetMode="External"/><Relationship Id="rId2" Type="http://schemas.openxmlformats.org/officeDocument/2006/relationships/externalLinkPath" Target="file:///G:\ngoc%20oi\T&#192;I%20CH&#205;NH%20TH&#193;NG%201.2026\b&#7843;ng%20l&#432;&#417;ng%20th&#225;ng%201.xlsx" TargetMode="External"/><Relationship Id="rId1" Type="http://schemas.openxmlformats.org/officeDocument/2006/relationships/externalLinkPath" Target="/ngoc%20oi/T&#192;I%20CH&#205;NH%20TH&#193;NG%201.2026/b&#7843;ng%20l&#432;&#417;ng%20th&#225;ng%201.xlsx" TargetMode="External"/></Relationships>
</file>

<file path=xl/externalLinks/_rels/externalLink4.xml.rels><?xml version="1.0" encoding="UTF-8" standalone="yes"?>
<Relationships xmlns="http://schemas.openxmlformats.org/package/2006/relationships"><Relationship Id="rId3" Type="http://schemas.openxmlformats.org/officeDocument/2006/relationships/externalLinkPath" Target="../T&#192;I%20CH&#205;NH%20TH&#193;NG%201.2026/chi%20ph&#237;%20v&#259;n%20ph&#242;ng%20th&#225;ng%201.xlsx" TargetMode="External"/><Relationship Id="rId2" Type="http://schemas.openxmlformats.org/officeDocument/2006/relationships/externalLinkPath" Target="file:///G:\ngoc%20oi\T&#192;I%20CH&#205;NH%20TH&#193;NG%201.2026\chi%20ph&#237;%20v&#259;n%20ph&#242;ng%20th&#225;ng%201.xlsx" TargetMode="External"/><Relationship Id="rId1" Type="http://schemas.openxmlformats.org/officeDocument/2006/relationships/externalLinkPath" Target="/ngoc%20oi/T&#192;I%20CH&#205;NH%20TH&#193;NG%201.2026/chi%20ph&#237;%20v&#259;n%20ph&#242;ng%20th&#225;ng%201.xlsx" TargetMode="External"/></Relationships>
</file>

<file path=xl/externalLinks/_rels/externalLink5.xml.rels><?xml version="1.0" encoding="UTF-8" standalone="yes"?>
<Relationships xmlns="http://schemas.openxmlformats.org/package/2006/relationships"><Relationship Id="rId3" Type="http://schemas.openxmlformats.org/officeDocument/2006/relationships/externalLinkPath" Target="../T&#192;I%20CH&#205;NH%20TH&#193;NG%202.2026/b&#7843;ng%20l&#432;&#417;ng%20th&#225;ng%202.xlsx" TargetMode="External"/><Relationship Id="rId2" Type="http://schemas.openxmlformats.org/officeDocument/2006/relationships/externalLinkPath" Target="file:///G:\ngoc%20oi\T&#192;I%20CH&#205;NH%20TH&#193;NG%202.2026\b&#7843;ng%20l&#432;&#417;ng%20th&#225;ng%202.xlsx" TargetMode="External"/><Relationship Id="rId1" Type="http://schemas.openxmlformats.org/officeDocument/2006/relationships/externalLinkPath" Target="/ngoc%20oi/T&#192;I%20CH&#205;NH%20TH&#193;NG%202.2026/b&#7843;ng%20l&#432;&#417;ng%20th&#225;ng%202.xlsx" TargetMode="External"/></Relationships>
</file>

<file path=xl/externalLinks/_rels/externalLink6.xml.rels><?xml version="1.0" encoding="UTF-8" standalone="yes"?>
<Relationships xmlns="http://schemas.openxmlformats.org/package/2006/relationships"><Relationship Id="rId3" Type="http://schemas.openxmlformats.org/officeDocument/2006/relationships/externalLinkPath" Target="../T&#192;I%20CH&#205;NH%20TH&#193;NG%202.2026/chi%20ph&#237;%20v&#259;n%20ph&#242;ng%20th&#225;ng%202.xlsx" TargetMode="External"/><Relationship Id="rId2" Type="http://schemas.openxmlformats.org/officeDocument/2006/relationships/externalLinkPath" Target="file:///G:\ngoc%20oi\T&#192;I%20CH&#205;NH%20TH&#193;NG%202.2026\chi%20ph&#237;%20v&#259;n%20ph&#242;ng%20th&#225;ng%202.xlsx" TargetMode="External"/><Relationship Id="rId1" Type="http://schemas.openxmlformats.org/officeDocument/2006/relationships/externalLinkPath" Target="/ngoc%20oi/T&#192;I%20CH&#205;NH%20TH&#193;NG%202.2026/chi%20ph&#237;%20v&#259;n%20ph&#242;ng%20th&#225;ng%202.xlsx" TargetMode="External"/></Relationships>
</file>

<file path=xl/externalLinks/_rels/externalLink7.xml.rels><?xml version="1.0" encoding="UTF-8" standalone="yes"?>
<Relationships xmlns="http://schemas.openxmlformats.org/package/2006/relationships"><Relationship Id="rId3" Type="http://schemas.openxmlformats.org/officeDocument/2006/relationships/externalLinkPath" Target="../T&#192;I%20CH&#205;NH%20TH&#193;NG%203.2026/b&#7843;ng%20l&#432;&#417;ng%20th&#225;ng%203.xlsx" TargetMode="External"/><Relationship Id="rId2" Type="http://schemas.openxmlformats.org/officeDocument/2006/relationships/externalLinkPath" Target="file:///G:\ngoc%20oi\T&#192;I%20CH&#205;NH%20TH&#193;NG%203.2026\b&#7843;ng%20l&#432;&#417;ng%20th&#225;ng%203.xlsx" TargetMode="External"/><Relationship Id="rId1" Type="http://schemas.openxmlformats.org/officeDocument/2006/relationships/externalLinkPath" Target="/ngoc%20oi/T&#192;I%20CH&#205;NH%20TH&#193;NG%203.2026/b&#7843;ng%20l&#432;&#417;ng%20th&#225;ng%203.xlsx" TargetMode="External"/></Relationships>
</file>

<file path=xl/externalLinks/_rels/externalLink8.xml.rels><?xml version="1.0" encoding="UTF-8" standalone="yes"?>
<Relationships xmlns="http://schemas.openxmlformats.org/package/2006/relationships"><Relationship Id="rId3" Type="http://schemas.openxmlformats.org/officeDocument/2006/relationships/externalLinkPath" Target="../T&#192;I%20CH&#205;NH%20TH&#193;NG%203.2026/chi%20ph&#237;%20v&#259;n%20ph&#242;ng%20th&#225;ng%203.xlsx" TargetMode="External"/><Relationship Id="rId2" Type="http://schemas.openxmlformats.org/officeDocument/2006/relationships/externalLinkPath" Target="file:///G:\ngoc%20oi\T&#192;I%20CH&#205;NH%20TH&#193;NG%203.2026\chi%20ph&#237;%20v&#259;n%20ph&#242;ng%20th&#225;ng%203.xlsx" TargetMode="External"/><Relationship Id="rId1" Type="http://schemas.openxmlformats.org/officeDocument/2006/relationships/externalLinkPath" Target="/ngoc%20oi/T&#192;I%20CH&#205;NH%20TH&#193;NG%203.2026/chi%20ph&#237;%20v&#259;n%20ph&#242;ng%20th&#225;ng%203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\AppData\Roaming\Microsoft\Excel\c&#7853;p%20nh&#7853;t%20thu%20ti&#7873;n%20th&#225;ng%204%20(version%201).xlsb" TargetMode="External"/><Relationship Id="rId1" Type="http://schemas.openxmlformats.org/officeDocument/2006/relationships/externalLinkPath" Target="file:///C:\Users\Admin\AppData\Roaming\Microsoft\Excel\c&#7853;p%20nh&#7853;t%20thu%20ti&#7873;n%20th&#225;ng%204%20(version%201).xlsb" TargetMode="External"/></Relationships>
</file>

<file path=xl/externalLinks/_rels/externalLink10.xml.rels><?xml version="1.0" encoding="UTF-8" standalone="yes"?>
<Relationships xmlns="http://schemas.openxmlformats.org/package/2006/relationships"><Relationship Id="rId3" Type="http://schemas.openxmlformats.org/officeDocument/2006/relationships/externalLinkPath" Target="../T&#192;I%20CH&#205;NH%20TH&#193;NG%204.2026/b&#7843;ng%20l&#432;&#417;ng%20th&#225;ng%204.xlsx" TargetMode="External"/><Relationship Id="rId2" Type="http://schemas.openxmlformats.org/officeDocument/2006/relationships/externalLinkPath" Target="file:///G:\ngoc%20oi\T&#192;I%20CH&#205;NH%20TH&#193;NG%204.2026\b&#7843;ng%20l&#432;&#417;ng%20th&#225;ng%204.xlsx" TargetMode="External"/><Relationship Id="rId1" Type="http://schemas.openxmlformats.org/officeDocument/2006/relationships/externalLinkPath" Target="/ngoc%20oi/T&#192;I%20CH&#205;NH%20TH&#193;NG%204.2026/b&#7843;ng%20l&#432;&#417;ng%20th&#225;ng%204.xlsx" TargetMode="External"/></Relationships>
</file>

<file path=xl/externalLinks/_rels/externalLink11.xml.rels><?xml version="1.0" encoding="UTF-8" standalone="yes"?>
<Relationships xmlns="http://schemas.openxmlformats.org/package/2006/relationships"><Relationship Id="rId3" Type="http://schemas.openxmlformats.org/officeDocument/2006/relationships/externalLinkPath" Target="../T&#192;I%20CH&#205;NH%20TH&#193;NG%204.2026/chi%20ph&#237;%20v&#259;n%20ph&#242;ng%20th&#225;ng%204.xlsx" TargetMode="External"/><Relationship Id="rId2" Type="http://schemas.openxmlformats.org/officeDocument/2006/relationships/externalLinkPath" Target="file:///G:\ngoc%20oi\T&#192;I%20CH&#205;NH%20TH&#193;NG%204.2026\chi%20ph&#237;%20v&#259;n%20ph&#242;ng%20th&#225;ng%204.xlsx" TargetMode="External"/><Relationship Id="rId1" Type="http://schemas.openxmlformats.org/officeDocument/2006/relationships/externalLinkPath" Target="/ngoc%20oi/T&#192;I%20CH&#205;NH%20TH&#193;NG%204.2026/chi%20ph&#237;%20v&#259;n%20ph&#242;ng%20th&#225;ng%204.xlsx" TargetMode="External"/></Relationships>
</file>

<file path=xl/externalLinks/_rels/externalLink12.xml.rels><?xml version="1.0" encoding="UTF-8" standalone="yes"?>
<Relationships xmlns="http://schemas.openxmlformats.org/package/2006/relationships"><Relationship Id="rId3" Type="http://schemas.openxmlformats.org/officeDocument/2006/relationships/externalLinkPath" Target="../T&#192;I%20CH&#205;NH%20TH&#193;NG%205.2026/b&#7843;ng%20l&#432;&#417;ng%20th&#225;ng%205.xlsx" TargetMode="External"/><Relationship Id="rId2" Type="http://schemas.openxmlformats.org/officeDocument/2006/relationships/externalLinkPath" Target="file:///G:\ngoc%20oi\T&#192;I%20CH&#205;NH%20TH&#193;NG%205.2026\b&#7843;ng%20l&#432;&#417;ng%20th&#225;ng%205.xlsx" TargetMode="External"/><Relationship Id="rId1" Type="http://schemas.openxmlformats.org/officeDocument/2006/relationships/externalLinkPath" Target="/ngoc%20oi/T&#192;I%20CH&#205;NH%20TH&#193;NG%205.2026/b&#7843;ng%20l&#432;&#417;ng%20th&#225;ng%205.xlsx" TargetMode="External"/></Relationships>
</file>

<file path=xl/externalLinks/_rels/externalLink13.xml.rels><?xml version="1.0" encoding="UTF-8" standalone="yes"?>
<Relationships xmlns="http://schemas.openxmlformats.org/package/2006/relationships"><Relationship Id="rId3" Type="http://schemas.openxmlformats.org/officeDocument/2006/relationships/externalLinkPath" Target="../T&#192;I%20CH&#205;NH%20TH&#193;NG%205.2026/chi%20ph&#237;%20v&#259;n%20ph&#242;ng%20th&#225;ng%205.xlsx" TargetMode="External"/><Relationship Id="rId2" Type="http://schemas.openxmlformats.org/officeDocument/2006/relationships/externalLinkPath" Target="file:///G:\ngoc%20oi\T&#192;I%20CH&#205;NH%20TH&#193;NG%205.2026\chi%20ph&#237;%20v&#259;n%20ph&#242;ng%20th&#225;ng%205.xlsx" TargetMode="External"/><Relationship Id="rId1" Type="http://schemas.openxmlformats.org/officeDocument/2006/relationships/externalLinkPath" Target="/ngoc%20oi/T&#192;I%20CH&#205;NH%20TH&#193;NG%205.2026/chi%20ph&#237;%20v&#259;n%20ph&#242;ng%20th&#225;ng%205.xlsx" TargetMode="External"/></Relationships>
</file>

<file path=xl/externalLinks/_rels/externalLink14.xml.rels><?xml version="1.0" encoding="UTF-8" standalone="yes"?>
<Relationships xmlns="http://schemas.openxmlformats.org/package/2006/relationships"><Relationship Id="rId3" Type="http://schemas.openxmlformats.org/officeDocument/2006/relationships/externalLinkPath" Target="../T&#192;I%20CH&#205;NH%20TH&#193;NG%206.2026/c&#7853;p%20nh&#7853;t%20thu%20ti&#7873;n%20th&#225;ng%206%20chu&#7849;n.xlsx" TargetMode="External"/><Relationship Id="rId2" Type="http://schemas.openxmlformats.org/officeDocument/2006/relationships/externalLinkPath" Target="file:///G:\ngoc%20oi\T&#192;I%20CH&#205;NH%20TH&#193;NG%206.2026\c&#7853;p%20nh&#7853;t%20thu%20ti&#7873;n%20th&#225;ng%206%20chu&#7849;n.xlsx" TargetMode="External"/><Relationship Id="rId1" Type="http://schemas.openxmlformats.org/officeDocument/2006/relationships/externalLinkPath" Target="/ngoc%20oi/T&#192;I%20CH&#205;NH%20TH&#193;NG%206.2026/c&#7853;p%20nh&#7853;t%20thu%20ti&#7873;n%20th&#225;ng%206%20chu&#7849;n.xlsx" TargetMode="External"/></Relationships>
</file>

<file path=xl/externalLinks/_rels/externalLink15.xml.rels><?xml version="1.0" encoding="UTF-8" standalone="yes"?>
<Relationships xmlns="http://schemas.openxmlformats.org/package/2006/relationships"><Relationship Id="rId3" Type="http://schemas.openxmlformats.org/officeDocument/2006/relationships/externalLinkPath" Target="../T&#192;I%20CH&#205;NH%20TH&#193;NG%206.2026/b&#7843;ng%20l&#432;&#417;ng%20th&#225;ng%206.xlsx" TargetMode="External"/><Relationship Id="rId2" Type="http://schemas.openxmlformats.org/officeDocument/2006/relationships/externalLinkPath" Target="file:///G:\ngoc%20oi\T&#192;I%20CH&#205;NH%20TH&#193;NG%206.2026\b&#7843;ng%20l&#432;&#417;ng%20th&#225;ng%206.xlsx" TargetMode="External"/><Relationship Id="rId1" Type="http://schemas.openxmlformats.org/officeDocument/2006/relationships/externalLinkPath" Target="/ngoc%20oi/T&#192;I%20CH&#205;NH%20TH&#193;NG%206.2026/b&#7843;ng%20l&#432;&#417;ng%20th&#225;ng%206.xlsx" TargetMode="External"/></Relationships>
</file>

<file path=xl/externalLinks/_rels/externalLink16.xml.rels><?xml version="1.0" encoding="UTF-8" standalone="yes"?>
<Relationships xmlns="http://schemas.openxmlformats.org/package/2006/relationships"><Relationship Id="rId3" Type="http://schemas.openxmlformats.org/officeDocument/2006/relationships/externalLinkPath" Target="../T&#192;I%20CH&#205;NH%20TH&#193;NG%206.2026/chi%20ph&#237;%20v&#259;n%20ph&#242;ng%20th&#225;ng%206.xlsx" TargetMode="External"/><Relationship Id="rId2" Type="http://schemas.openxmlformats.org/officeDocument/2006/relationships/externalLinkPath" Target="file:///G:\ngoc%20oi\T&#192;I%20CH&#205;NH%20TH&#193;NG%206.2026\chi%20ph&#237;%20v&#259;n%20ph&#242;ng%20th&#225;ng%206.xlsx" TargetMode="External"/><Relationship Id="rId1" Type="http://schemas.openxmlformats.org/officeDocument/2006/relationships/externalLinkPath" Target="/ngoc%20oi/T&#192;I%20CH&#205;NH%20TH&#193;NG%206.2026/chi%20ph&#237;%20v&#259;n%20ph&#242;ng%20th&#225;ng%206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ngoc%20oi\T&#192;I%20CH&#205;NH%20TH&#193;NG%208.2026\c&#7853;p%20nh&#7853;t%20thu%20ti&#7873;n%20th&#225;ng%208..xlsx" TargetMode="External"/><Relationship Id="rId1" Type="http://schemas.openxmlformats.org/officeDocument/2006/relationships/externalLinkPath" Target="c&#7853;p%20nh&#7853;t%20thu%20ti&#7873;n%20th&#225;ng%208.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ngoc%20oi\T&#192;I%20CH&#205;NH%20TH&#193;NG%208.2026\b&#7843;ng%20l&#432;&#417;ng%20th&#225;ng%208.xlsx" TargetMode="External"/><Relationship Id="rId1" Type="http://schemas.openxmlformats.org/officeDocument/2006/relationships/externalLinkPath" Target="b&#7843;ng%20l&#432;&#417;ng%20th&#225;ng%208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ngoc%20oi\T&#192;I%20CH&#205;NH%20TH&#193;NG%208.2026\chi%20ph&#237;%20v&#259;n%20ph&#242;ng%20th&#225;ng%208.xlsx" TargetMode="External"/><Relationship Id="rId1" Type="http://schemas.openxmlformats.org/officeDocument/2006/relationships/externalLinkPath" Target="chi%20ph&#237;%20v&#259;n%20ph&#242;ng%20th&#225;ng%20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THÁNG 1"/>
      <sheetName val="THÁNG 2 "/>
      <sheetName val="THÁNG 3"/>
      <sheetName val="THÁNG 4 "/>
      <sheetName val="THÁNG 5 "/>
      <sheetName val="THÁNG 6"/>
      <sheetName val="THÁNG 7"/>
    </sheetNames>
    <sheetDataSet>
      <sheetData sheetId="0"/>
      <sheetData sheetId="1"/>
      <sheetData sheetId="2"/>
      <sheetData sheetId="3"/>
      <sheetData sheetId="4"/>
      <sheetData sheetId="5"/>
      <sheetData sheetId="6">
        <row r="136">
          <cell r="Y136">
            <v>47469230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hi phí set up vp"/>
      <sheetName val="tháng 6"/>
      <sheetName val="Tháng 7"/>
      <sheetName val="Tháng 8"/>
      <sheetName val="Tháng 9"/>
      <sheetName val="Tháng 10"/>
      <sheetName val="THÁNG 12"/>
      <sheetName val="THÁNG 1.2024"/>
      <sheetName val="THÁNG 2.2024"/>
      <sheetName val="THÁNG 3"/>
      <sheetName val="THÁNG 4"/>
      <sheetName val="THÁNG 5"/>
      <sheetName val="THÁNG 6."/>
      <sheetName val="THÁNG 7.24"/>
      <sheetName val="THÁNG 8.24"/>
      <sheetName val="THÁNG 9.24"/>
      <sheetName val="THÁNG 10.24 "/>
      <sheetName val="THÁNG 11.24"/>
      <sheetName val="THÁNG 12.24 "/>
      <sheetName val="THÁNG 1.25"/>
      <sheetName val="THÁNG 2.25 "/>
      <sheetName val="THÁNG 3.25 "/>
      <sheetName val="THÁNG 4.25 "/>
      <sheetName val="THÁNG 5.25"/>
      <sheetName val="THÁNG 6.25 "/>
      <sheetName val="THÁNG 7.25"/>
      <sheetName val="THÁNG 9.25 "/>
      <sheetName val="THÁNG 10.25 "/>
      <sheetName val="THÁNG 11.25 "/>
      <sheetName val="THÁNG 12.25  "/>
      <sheetName val="THÁNG 1.26 "/>
      <sheetName val="THÁNG 2.26  "/>
      <sheetName val="THÁNG 3.26 "/>
      <sheetName val="THÁNG 4.26 "/>
      <sheetName val="THÁNG 5.26  "/>
      <sheetName val="THÁNG 6.26 "/>
      <sheetName val="THÁNG 7.26  "/>
      <sheetName val="THÁNG 8.25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>
        <row r="10">
          <cell r="F10">
            <v>31472000</v>
          </cell>
        </row>
        <row r="35">
          <cell r="B35">
            <v>118354411</v>
          </cell>
        </row>
      </sheetData>
      <sheetData sheetId="3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THÁNG 1"/>
    </sheetNames>
    <sheetDataSet>
      <sheetData sheetId="0">
        <row r="11">
          <cell r="W11">
            <v>2021457.1987423028</v>
          </cell>
        </row>
        <row r="132">
          <cell r="Y132">
            <v>28596154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hi phí set up vp"/>
      <sheetName val="tháng 6"/>
      <sheetName val="Tháng 7"/>
      <sheetName val="Tháng 8"/>
      <sheetName val="Tháng 9"/>
      <sheetName val="Tháng 10"/>
      <sheetName val="THÁNG 12"/>
      <sheetName val="THÁNG 1.2024"/>
      <sheetName val="THÁNG 2.2024"/>
      <sheetName val="THÁNG 3"/>
      <sheetName val="THÁNG 4"/>
      <sheetName val="THÁNG 5"/>
      <sheetName val="THÁNG 6."/>
      <sheetName val="THÁNG 7.24"/>
      <sheetName val="THÁNG 8.24"/>
      <sheetName val="THÁNG 9.24"/>
      <sheetName val="THÁNG 10.24 "/>
      <sheetName val="THÁNG 11.24"/>
      <sheetName val="THÁNG 12.24 "/>
      <sheetName val="THÁNG 1.25"/>
      <sheetName val="THÁNG 2.25 "/>
      <sheetName val="THÁNG 3.25 "/>
      <sheetName val="THÁNG 4.25 "/>
      <sheetName val="THÁNG 5.25"/>
      <sheetName val="THÁNG 6.25 "/>
      <sheetName val="THÁNG 7.25"/>
      <sheetName val="THÁNG 9.25 "/>
      <sheetName val="THÁNG 10.25 "/>
      <sheetName val="THÁNG 11.25 "/>
      <sheetName val="THÁNG 12.25  "/>
      <sheetName val="THÁNG 1.26 "/>
      <sheetName val="THÁNG 8.25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>
        <row r="10">
          <cell r="F10">
            <v>4424184</v>
          </cell>
        </row>
        <row r="19">
          <cell r="B19">
            <v>46243590</v>
          </cell>
        </row>
      </sheetData>
      <sheetData sheetId="3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THÁNG 1"/>
      <sheetName val="THÁNG 2 "/>
    </sheetNames>
    <sheetDataSet>
      <sheetData sheetId="0"/>
      <sheetData sheetId="1">
        <row r="116">
          <cell r="W116">
            <v>1379432.0815766132</v>
          </cell>
        </row>
        <row r="126">
          <cell r="Y126">
            <v>23423077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hi phí set up vp"/>
      <sheetName val="tháng 6"/>
      <sheetName val="Tháng 7"/>
      <sheetName val="Tháng 8"/>
      <sheetName val="Tháng 9"/>
      <sheetName val="Tháng 10"/>
      <sheetName val="THÁNG 12"/>
      <sheetName val="THÁNG 1.2024"/>
      <sheetName val="THÁNG 2.2024"/>
      <sheetName val="THÁNG 3"/>
      <sheetName val="THÁNG 4"/>
      <sheetName val="THÁNG 5"/>
      <sheetName val="THÁNG 6."/>
      <sheetName val="THÁNG 7.24"/>
      <sheetName val="THÁNG 8.24"/>
      <sheetName val="THÁNG 9.24"/>
      <sheetName val="THÁNG 10.24 "/>
      <sheetName val="THÁNG 11.24"/>
      <sheetName val="THÁNG 12.24 "/>
      <sheetName val="THÁNG 1.25"/>
      <sheetName val="THÁNG 2.25 "/>
      <sheetName val="THÁNG 3.25 "/>
      <sheetName val="THÁNG 4.25 "/>
      <sheetName val="THÁNG 5.25"/>
      <sheetName val="THÁNG 6.25 "/>
      <sheetName val="THÁNG 7.25"/>
      <sheetName val="THÁNG 9.25 "/>
      <sheetName val="THÁNG 10.25 "/>
      <sheetName val="THÁNG 11.25 "/>
      <sheetName val="THÁNG 12.25  "/>
      <sheetName val="THÁNG 1.26 "/>
      <sheetName val="THÁNG 2.26  "/>
      <sheetName val="THÁNG 8.25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>
        <row r="10">
          <cell r="F10">
            <v>7851000</v>
          </cell>
        </row>
        <row r="19">
          <cell r="B19">
            <v>182261999</v>
          </cell>
        </row>
      </sheetData>
      <sheetData sheetId="32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THÁNG 1"/>
      <sheetName val="THÁNG 2 "/>
      <sheetName val="THÁNG 3"/>
    </sheetNames>
    <sheetDataSet>
      <sheetData sheetId="0"/>
      <sheetData sheetId="1"/>
      <sheetData sheetId="2">
        <row r="117">
          <cell r="W117">
            <v>1604489.7635779723</v>
          </cell>
        </row>
        <row r="125">
          <cell r="Y125">
            <v>34465385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hi phí set up vp"/>
      <sheetName val="tháng 6"/>
      <sheetName val="Tháng 7"/>
      <sheetName val="Tháng 8"/>
      <sheetName val="Tháng 9"/>
      <sheetName val="Tháng 10"/>
      <sheetName val="THÁNG 12"/>
      <sheetName val="THÁNG 1.2024"/>
      <sheetName val="THÁNG 2.2024"/>
      <sheetName val="THÁNG 3"/>
      <sheetName val="THÁNG 4"/>
      <sheetName val="THÁNG 5"/>
      <sheetName val="THÁNG 6."/>
      <sheetName val="THÁNG 7.24"/>
      <sheetName val="THÁNG 8.24"/>
      <sheetName val="THÁNG 9.24"/>
      <sheetName val="THÁNG 10.24 "/>
      <sheetName val="THÁNG 11.24"/>
      <sheetName val="THÁNG 12.24 "/>
      <sheetName val="THÁNG 1.25"/>
      <sheetName val="THÁNG 2.25 "/>
      <sheetName val="THÁNG 3.25 "/>
      <sheetName val="THÁNG 4.25 "/>
      <sheetName val="THÁNG 5.25"/>
      <sheetName val="THÁNG 6.25 "/>
      <sheetName val="THÁNG 7.25"/>
      <sheetName val="THÁNG 9.25 "/>
      <sheetName val="THÁNG 10.25 "/>
      <sheetName val="THÁNG 11.25 "/>
      <sheetName val="THÁNG 12.25  "/>
      <sheetName val="THÁNG 1.26 "/>
      <sheetName val="THÁNG 2.26  "/>
      <sheetName val="THÁNG 3.26 "/>
      <sheetName val="THÁNG 8.25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>
        <row r="10">
          <cell r="F10">
            <v>16188276</v>
          </cell>
        </row>
        <row r="19">
          <cell r="B19">
            <v>45844988</v>
          </cell>
        </row>
      </sheetData>
      <sheetData sheetId="33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3"/>
      <sheetName val="NHÀ G"/>
      <sheetName val="G5"/>
      <sheetName val=" G6"/>
      <sheetName val="G7"/>
      <sheetName val="NHÀ S"/>
      <sheetName val="NHÀ T"/>
      <sheetName val="PHÒNG MỚI THÁNG 4"/>
      <sheetName val=" PHÒNG MỚI THÁNG 3"/>
      <sheetName val="HOÀN CỌC"/>
      <sheetName val="PHÒNG MỚI THÁNG 5"/>
      <sheetName val="cập nhật thu tiền"/>
      <sheetName val="DS phòng phá hđ"/>
      <sheetName val="HĐ (MB)"/>
      <sheetName val="HĐ G1 (TECH) "/>
      <sheetName val="HĐ (VP)"/>
      <sheetName val="HĐ (TECH)"/>
      <sheetName val="ĐIỆN NƯỚC PHÒNG TRỐNG"/>
      <sheetName val="HĐ (HOÀN CỌC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40">
          <cell r="H40">
            <v>2026666.6666666667</v>
          </cell>
          <cell r="X40">
            <v>128000</v>
          </cell>
          <cell r="AD40">
            <v>53333.333333333336</v>
          </cell>
          <cell r="AG40">
            <v>64000</v>
          </cell>
          <cell r="AP40">
            <v>128000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THÁNG 1"/>
      <sheetName val="THÁNG 2 "/>
      <sheetName val="THÁNG 3"/>
      <sheetName val="THÁNG 4 "/>
    </sheetNames>
    <sheetDataSet>
      <sheetData sheetId="0"/>
      <sheetData sheetId="1"/>
      <sheetData sheetId="2"/>
      <sheetData sheetId="3">
        <row r="118">
          <cell r="W118">
            <v>1453103.8690127791</v>
          </cell>
        </row>
        <row r="126">
          <cell r="Y126">
            <v>43103846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hi phí set up vp"/>
      <sheetName val="tháng 6"/>
      <sheetName val="Tháng 7"/>
      <sheetName val="Tháng 8"/>
      <sheetName val="Tháng 9"/>
      <sheetName val="Tháng 10"/>
      <sheetName val="THÁNG 12"/>
      <sheetName val="THÁNG 1.2024"/>
      <sheetName val="THÁNG 2.2024"/>
      <sheetName val="THÁNG 3"/>
      <sheetName val="THÁNG 4"/>
      <sheetName val="THÁNG 5"/>
      <sheetName val="THÁNG 6."/>
      <sheetName val="THÁNG 7.24"/>
      <sheetName val="THÁNG 8.24"/>
      <sheetName val="THÁNG 9.24"/>
      <sheetName val="THÁNG 10.24 "/>
      <sheetName val="THÁNG 11.24"/>
      <sheetName val="THÁNG 12.24 "/>
      <sheetName val="THÁNG 1.25"/>
      <sheetName val="THÁNG 2.25 "/>
      <sheetName val="THÁNG 3.25 "/>
      <sheetName val="THÁNG 4.25 "/>
      <sheetName val="THÁNG 5.25"/>
      <sheetName val="THÁNG 6.25 "/>
      <sheetName val="THÁNG 7.25"/>
      <sheetName val="THÁNG 9.25 "/>
      <sheetName val="THÁNG 10.25 "/>
      <sheetName val="THÁNG 11.25 "/>
      <sheetName val="THÁNG 12.25  "/>
      <sheetName val="THÁNG 1.26 "/>
      <sheetName val="THÁNG 2.26  "/>
      <sheetName val="THÁNG 3.26 "/>
      <sheetName val="THÁNG 4.26 "/>
      <sheetName val="THÁNG 8.25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>
        <row r="10">
          <cell r="F10">
            <v>32951100</v>
          </cell>
        </row>
        <row r="35">
          <cell r="B35">
            <v>96381998</v>
          </cell>
        </row>
      </sheetData>
      <sheetData sheetId="3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THÁNG 1"/>
      <sheetName val="THÁNG 2 "/>
      <sheetName val="THÁNG 3"/>
      <sheetName val="THÁNG 4 "/>
      <sheetName val="THÁNG 5 "/>
    </sheetNames>
    <sheetDataSet>
      <sheetData sheetId="0"/>
      <sheetData sheetId="1"/>
      <sheetData sheetId="2"/>
      <sheetData sheetId="3"/>
      <sheetData sheetId="4">
        <row r="118">
          <cell r="W118">
            <v>1533754.5582314541</v>
          </cell>
        </row>
        <row r="126">
          <cell r="Y126">
            <v>40761539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hi phí set up vp"/>
      <sheetName val="tháng 6"/>
      <sheetName val="Tháng 7"/>
      <sheetName val="Tháng 8"/>
      <sheetName val="Tháng 9"/>
      <sheetName val="Tháng 10"/>
      <sheetName val="THÁNG 12"/>
      <sheetName val="THÁNG 1.2024"/>
      <sheetName val="THÁNG 2.2024"/>
      <sheetName val="THÁNG 3"/>
      <sheetName val="THÁNG 4"/>
      <sheetName val="THÁNG 5"/>
      <sheetName val="THÁNG 6."/>
      <sheetName val="THÁNG 7.24"/>
      <sheetName val="THÁNG 8.24"/>
      <sheetName val="THÁNG 9.24"/>
      <sheetName val="THÁNG 10.24 "/>
      <sheetName val="THÁNG 11.24"/>
      <sheetName val="THÁNG 12.24 "/>
      <sheetName val="THÁNG 1.25"/>
      <sheetName val="THÁNG 2.25 "/>
      <sheetName val="THÁNG 3.25 "/>
      <sheetName val="THÁNG 4.25 "/>
      <sheetName val="THÁNG 5.25"/>
      <sheetName val="THÁNG 6.25 "/>
      <sheetName val="THÁNG 7.25"/>
      <sheetName val="THÁNG 9.25 "/>
      <sheetName val="THÁNG 10.25 "/>
      <sheetName val="THÁNG 11.25 "/>
      <sheetName val="THÁNG 12.25  "/>
      <sheetName val="THÁNG 1.26 "/>
      <sheetName val="THÁNG 2.26  "/>
      <sheetName val="THÁNG 3.26 "/>
      <sheetName val="THÁNG 4.26 "/>
      <sheetName val="THÁNG 5.26  "/>
      <sheetName val="THÁNG 8.25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>
        <row r="10">
          <cell r="F10">
            <v>15816300</v>
          </cell>
        </row>
        <row r="35">
          <cell r="B35">
            <v>64776350</v>
          </cell>
        </row>
      </sheetData>
      <sheetData sheetId="35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NHÀ G"/>
      <sheetName val="NHÀ S"/>
      <sheetName val="NHÀ T"/>
      <sheetName val="PHÒNG MỚI THÁNG 6"/>
      <sheetName val="PHÒNG MỚI THÁNG 5"/>
      <sheetName val="PHÒNG MỚI THÁNG 7"/>
      <sheetName val="HOÀN CỌC"/>
      <sheetName val="G8"/>
      <sheetName val="cập nhật thu tiền"/>
      <sheetName val="DS phòng phá hđ"/>
      <sheetName val=" PHÒNG MỚI THÁNG 3"/>
      <sheetName val="HĐ (VP-HẰNG)"/>
      <sheetName val="HĐ G1 (TECH) "/>
      <sheetName val="HĐ (VP)"/>
      <sheetName val="HĐ (TECH)"/>
      <sheetName val="ĐIỆN NƯỚC PHÒNG TRỐNG"/>
      <sheetName val="HĐ (HOÀN CỌC)"/>
    </sheetNames>
    <sheetDataSet>
      <sheetData sheetId="0"/>
      <sheetData sheetId="1"/>
      <sheetData sheetId="2"/>
      <sheetData sheetId="3">
        <row r="37">
          <cell r="H37">
            <v>1300000</v>
          </cell>
          <cell r="X37">
            <v>40000</v>
          </cell>
          <cell r="AD37">
            <v>33333.333333333336</v>
          </cell>
          <cell r="AG37">
            <v>20000</v>
          </cell>
          <cell r="AP37">
            <v>40000</v>
          </cell>
        </row>
        <row r="63">
          <cell r="H63">
            <v>760000</v>
          </cell>
          <cell r="X63">
            <v>24000</v>
          </cell>
          <cell r="AD63">
            <v>20000</v>
          </cell>
          <cell r="AG63">
            <v>12000</v>
          </cell>
          <cell r="AP63">
            <v>24000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THÁNG 1"/>
      <sheetName val="THÁNG 2 "/>
      <sheetName val="THÁNG 3"/>
      <sheetName val="THÁNG 4 "/>
      <sheetName val="THÁNG 5 "/>
      <sheetName val="THÁNG 6"/>
    </sheetNames>
    <sheetDataSet>
      <sheetData sheetId="0"/>
      <sheetData sheetId="1"/>
      <sheetData sheetId="2"/>
      <sheetData sheetId="3"/>
      <sheetData sheetId="4"/>
      <sheetData sheetId="5">
        <row r="35">
          <cell r="W35">
            <v>1506181.6835965998</v>
          </cell>
        </row>
        <row r="131">
          <cell r="Y131">
            <v>47600001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hi phí set up vp"/>
      <sheetName val="tháng 6"/>
      <sheetName val="Tháng 7"/>
      <sheetName val="Tháng 8"/>
      <sheetName val="Tháng 9"/>
      <sheetName val="Tháng 10"/>
      <sheetName val="THÁNG 12"/>
      <sheetName val="THÁNG 1.2024"/>
      <sheetName val="THÁNG 2.2024"/>
      <sheetName val="THÁNG 3"/>
      <sheetName val="THÁNG 4"/>
      <sheetName val="THÁNG 5"/>
      <sheetName val="THÁNG 6."/>
      <sheetName val="THÁNG 7.24"/>
      <sheetName val="THÁNG 8.24"/>
      <sheetName val="THÁNG 9.24"/>
      <sheetName val="THÁNG 10.24 "/>
      <sheetName val="THÁNG 11.24"/>
      <sheetName val="THÁNG 12.24 "/>
      <sheetName val="THÁNG 1.25"/>
      <sheetName val="THÁNG 2.25 "/>
      <sheetName val="THÁNG 3.25 "/>
      <sheetName val="THÁNG 4.25 "/>
      <sheetName val="THÁNG 5.25"/>
      <sheetName val="THÁNG 6.25 "/>
      <sheetName val="THÁNG 7.25"/>
      <sheetName val="THÁNG 9.25 "/>
      <sheetName val="THÁNG 10.25 "/>
      <sheetName val="THÁNG 11.25 "/>
      <sheetName val="THÁNG 12.25  "/>
      <sheetName val="THÁNG 1.26 "/>
      <sheetName val="THÁNG 2.26  "/>
      <sheetName val="THÁNG 3.26 "/>
      <sheetName val="THÁNG 4.26 "/>
      <sheetName val="THÁNG 5.26  "/>
      <sheetName val="THÁNG 6.26 "/>
      <sheetName val="THÁNG 8.25 "/>
      <sheetName val="THÁNG 7.26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>
        <row r="10">
          <cell r="F10">
            <v>30188000</v>
          </cell>
        </row>
        <row r="35">
          <cell r="B35">
            <v>60785000</v>
          </cell>
        </row>
      </sheetData>
      <sheetData sheetId="36"/>
      <sheetData sheetId="37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HÀ G"/>
      <sheetName val="NHÀ S"/>
      <sheetName val="NHÀ T"/>
      <sheetName val="PHÒNG MỚI THÁNG 8"/>
      <sheetName val="PHÒNG MỚI THÁNG 9"/>
      <sheetName val="cập nhật thu tiền"/>
      <sheetName val="BÁO CÁO CHECK THU TIỀN"/>
      <sheetName val="G13"/>
      <sheetName val=" G14"/>
      <sheetName val="G15"/>
      <sheetName val="G17"/>
      <sheetName val="PHÒNG MỚI THÁNG 7"/>
      <sheetName val="DS phòng phá hđ"/>
      <sheetName val="HĐ (VP-HẰNG)"/>
      <sheetName val="HĐ (VP)"/>
      <sheetName val="HĐ (TECH)"/>
      <sheetName val="HĐ G1 (TECH) "/>
      <sheetName val="G12"/>
      <sheetName val="ĐIỆN NƯỚC PHÒNG TRỐNG"/>
      <sheetName val="PHÒNG MỚI THÁNG 5"/>
      <sheetName val=" PHÒNG MỚI THÁNG 3"/>
      <sheetName val="HOÀN CỌC"/>
      <sheetName val="HĐ (HOÀN CỌC)"/>
    </sheetNames>
    <sheetDataSet>
      <sheetData sheetId="0"/>
      <sheetData sheetId="1"/>
      <sheetData sheetId="2"/>
      <sheetData sheetId="3">
        <row r="18">
          <cell r="H18">
            <v>3648387.0967741935</v>
          </cell>
          <cell r="X18">
            <v>224516.12903225806</v>
          </cell>
          <cell r="AD18">
            <v>93548.387096774197</v>
          </cell>
          <cell r="AG18">
            <v>112258.06451612903</v>
          </cell>
          <cell r="AP18">
            <v>224516.12903225806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9">
          <cell r="S9">
            <v>660000</v>
          </cell>
        </row>
      </sheetData>
      <sheetData sheetId="22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HÁNG 1"/>
      <sheetName val="THÁNG 2 "/>
      <sheetName val="THÁNG 3"/>
      <sheetName val="THÁNG 4 "/>
      <sheetName val="THÁNG 5 "/>
      <sheetName val="THÁNG 6"/>
      <sheetName val="THÁNG 7"/>
      <sheetName val="THÁNG 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41">
          <cell r="Y141">
            <v>57300001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hi phí set up vp"/>
      <sheetName val="tháng 6"/>
      <sheetName val="Tháng 7"/>
      <sheetName val="Tháng 8"/>
      <sheetName val="Tháng 9"/>
      <sheetName val="Tháng 10"/>
      <sheetName val="THÁNG 12"/>
      <sheetName val="THÁNG 1.2024"/>
      <sheetName val="THÁNG 2.2024"/>
      <sheetName val="THÁNG 3"/>
      <sheetName val="THÁNG 4"/>
      <sheetName val="THÁNG 5"/>
      <sheetName val="THÁNG 6."/>
      <sheetName val="THÁNG 7.24"/>
      <sheetName val="THÁNG 8.24"/>
      <sheetName val="THÁNG 9.24"/>
      <sheetName val="THÁNG 10.24 "/>
      <sheetName val="THÁNG 11.24"/>
      <sheetName val="THÁNG 12.24 "/>
      <sheetName val="THÁNG 1.25"/>
      <sheetName val="THÁNG 2.25 "/>
      <sheetName val="THÁNG 3.25 "/>
      <sheetName val="THÁNG 4.25 "/>
      <sheetName val="THÁNG 5.25"/>
      <sheetName val="THÁNG 6.25 "/>
      <sheetName val="THÁNG 7.25"/>
      <sheetName val="THÁNG 9.25 "/>
      <sheetName val="THÁNG 10.25 "/>
      <sheetName val="THÁNG 11.25 "/>
      <sheetName val="THÁNG 12.25  "/>
      <sheetName val="THÁNG 1.26 "/>
      <sheetName val="THÁNG 2.26  "/>
      <sheetName val="THÁNG 3.26 "/>
      <sheetName val="THÁNG 4.26 "/>
      <sheetName val="THÁNG 5.26  "/>
      <sheetName val="THÁNG 6.26 "/>
      <sheetName val="THÁNG 7.26  "/>
      <sheetName val="THÁNG 8.26   "/>
      <sheetName val="THÁNG 8.25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>
        <row r="10">
          <cell r="F10">
            <v>23681000</v>
          </cell>
        </row>
        <row r="12">
          <cell r="B12">
            <v>53851231</v>
          </cell>
        </row>
      </sheetData>
      <sheetData sheetId="3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625CD-85C0-4588-BD93-6840CF4F4CEA}">
  <dimension ref="A1:H46"/>
  <sheetViews>
    <sheetView workbookViewId="0">
      <selection activeCell="D11" sqref="D11:E11"/>
    </sheetView>
  </sheetViews>
  <sheetFormatPr defaultRowHeight="14.5"/>
  <cols>
    <col min="1" max="1" width="15.81640625" customWidth="1"/>
    <col min="2" max="2" width="29.453125" customWidth="1"/>
    <col min="3" max="3" width="21.26953125" customWidth="1"/>
    <col min="4" max="4" width="26.453125" customWidth="1"/>
    <col min="5" max="5" width="18.7265625" customWidth="1"/>
    <col min="6" max="6" width="15.1796875" customWidth="1"/>
  </cols>
  <sheetData>
    <row r="1" spans="1:8">
      <c r="A1" s="359" t="s">
        <v>0</v>
      </c>
      <c r="B1" s="360"/>
      <c r="C1" s="360"/>
      <c r="D1" s="360"/>
      <c r="E1" s="360"/>
      <c r="F1" s="360"/>
      <c r="G1" s="360"/>
      <c r="H1" s="361"/>
    </row>
    <row r="2" spans="1:8">
      <c r="A2" s="1"/>
      <c r="B2" s="1"/>
      <c r="C2" s="1"/>
      <c r="D2" s="1" t="s">
        <v>1</v>
      </c>
      <c r="E2" s="2">
        <f>SUM(E4:E38)</f>
        <v>38862000</v>
      </c>
      <c r="F2" s="3"/>
      <c r="G2" s="1"/>
      <c r="H2" s="1"/>
    </row>
    <row r="3" spans="1:8" ht="19" customHeight="1">
      <c r="A3" s="4" t="s">
        <v>2</v>
      </c>
      <c r="B3" s="4" t="s">
        <v>3</v>
      </c>
      <c r="C3" s="5" t="s">
        <v>4</v>
      </c>
      <c r="D3" s="4" t="s">
        <v>5</v>
      </c>
      <c r="E3" s="6" t="s">
        <v>6</v>
      </c>
      <c r="F3" s="7" t="s">
        <v>7</v>
      </c>
      <c r="G3" s="4" t="s">
        <v>8</v>
      </c>
      <c r="H3" s="6" t="s">
        <v>9</v>
      </c>
    </row>
    <row r="4" spans="1:8" s="14" customFormat="1" ht="30.5" customHeight="1">
      <c r="A4" s="8"/>
      <c r="B4" s="8"/>
      <c r="C4" s="9"/>
      <c r="D4" s="11" t="s">
        <v>68</v>
      </c>
      <c r="E4" s="11">
        <v>1175000</v>
      </c>
      <c r="F4" s="8"/>
      <c r="G4" s="12"/>
      <c r="H4" s="13"/>
    </row>
    <row r="5" spans="1:8" s="14" customFormat="1">
      <c r="A5" s="8"/>
      <c r="B5" s="8"/>
      <c r="C5" s="9"/>
      <c r="D5" s="11" t="s">
        <v>71</v>
      </c>
      <c r="E5" s="11">
        <v>5355000</v>
      </c>
      <c r="F5" s="8"/>
      <c r="G5" s="12"/>
      <c r="H5" s="13"/>
    </row>
    <row r="6" spans="1:8" s="14" customFormat="1">
      <c r="A6" s="8"/>
      <c r="B6" s="8"/>
      <c r="C6" s="9"/>
      <c r="D6" s="11" t="s">
        <v>76</v>
      </c>
      <c r="E6" s="11">
        <v>3200000</v>
      </c>
      <c r="F6" s="8"/>
      <c r="G6" s="12"/>
      <c r="H6" s="13"/>
    </row>
    <row r="7" spans="1:8" s="14" customFormat="1">
      <c r="A7" s="8"/>
      <c r="B7" s="8"/>
      <c r="C7" s="9"/>
      <c r="D7" s="11" t="s">
        <v>78</v>
      </c>
      <c r="E7" s="11">
        <v>5000000</v>
      </c>
      <c r="F7" s="8"/>
      <c r="G7" s="12"/>
      <c r="H7" s="15"/>
    </row>
    <row r="8" spans="1:8" s="14" customFormat="1">
      <c r="A8" s="8"/>
      <c r="B8" s="8"/>
      <c r="C8" s="9"/>
      <c r="D8" s="11" t="s">
        <v>79</v>
      </c>
      <c r="E8" s="11">
        <v>4782000</v>
      </c>
      <c r="F8" s="8"/>
      <c r="G8" s="12"/>
      <c r="H8" s="15"/>
    </row>
    <row r="9" spans="1:8" s="14" customFormat="1">
      <c r="A9" s="8"/>
      <c r="B9" s="8"/>
      <c r="C9" s="9"/>
      <c r="D9" s="11" t="s">
        <v>80</v>
      </c>
      <c r="E9" s="11">
        <v>12600000</v>
      </c>
      <c r="F9" s="8"/>
      <c r="G9" s="12"/>
      <c r="H9" s="15"/>
    </row>
    <row r="10" spans="1:8" s="14" customFormat="1">
      <c r="A10" s="8"/>
      <c r="B10" s="8"/>
      <c r="C10" s="9"/>
      <c r="D10" s="11" t="s">
        <v>81</v>
      </c>
      <c r="E10" s="11">
        <v>4150000</v>
      </c>
      <c r="F10" s="8"/>
      <c r="G10" s="12"/>
      <c r="H10" s="15"/>
    </row>
    <row r="11" spans="1:8" s="14" customFormat="1">
      <c r="A11" s="8"/>
      <c r="B11" s="8"/>
      <c r="C11" s="9"/>
      <c r="D11" s="11" t="s">
        <v>83</v>
      </c>
      <c r="E11" s="11">
        <v>2600000</v>
      </c>
      <c r="F11" s="8"/>
      <c r="G11" s="12"/>
      <c r="H11" s="15"/>
    </row>
    <row r="12" spans="1:8" s="14" customFormat="1" ht="14">
      <c r="A12" s="8"/>
      <c r="B12" s="8"/>
      <c r="D12" s="11"/>
      <c r="E12" s="11"/>
      <c r="F12" s="8"/>
      <c r="G12" s="12"/>
      <c r="H12" s="15"/>
    </row>
    <row r="13" spans="1:8" s="14" customFormat="1" ht="14">
      <c r="D13" s="11"/>
      <c r="E13" s="11"/>
      <c r="G13" s="12"/>
      <c r="H13" s="16"/>
    </row>
    <row r="14" spans="1:8" s="14" customFormat="1" ht="14">
      <c r="D14" s="11"/>
      <c r="E14" s="11"/>
      <c r="G14" s="12"/>
      <c r="H14" s="16"/>
    </row>
    <row r="15" spans="1:8" s="9" customFormat="1">
      <c r="A15" s="8"/>
      <c r="B15" s="8"/>
      <c r="C15" s="14"/>
      <c r="D15" s="11"/>
      <c r="E15" s="11"/>
      <c r="F15" s="8"/>
      <c r="G15" s="17"/>
      <c r="H15" s="8"/>
    </row>
    <row r="16" spans="1:8" s="9" customFormat="1">
      <c r="A16" s="8"/>
      <c r="B16" s="8"/>
      <c r="D16" s="11"/>
      <c r="E16" s="11"/>
      <c r="F16" s="8"/>
      <c r="G16" s="17"/>
      <c r="H16" s="8"/>
    </row>
    <row r="17" spans="1:8" s="9" customFormat="1">
      <c r="A17" s="8"/>
      <c r="B17" s="8"/>
      <c r="D17" s="11"/>
      <c r="E17" s="11"/>
      <c r="F17" s="8"/>
      <c r="G17" s="17"/>
      <c r="H17" s="8"/>
    </row>
    <row r="18" spans="1:8" s="9" customFormat="1">
      <c r="A18" s="8"/>
      <c r="B18" s="8"/>
      <c r="D18" s="11"/>
      <c r="E18" s="11"/>
      <c r="F18" s="8"/>
      <c r="G18" s="17"/>
      <c r="H18" s="8"/>
    </row>
    <row r="19" spans="1:8" s="9" customFormat="1">
      <c r="D19" s="11"/>
      <c r="E19" s="11"/>
    </row>
    <row r="20" spans="1:8" s="9" customFormat="1">
      <c r="D20" s="11"/>
      <c r="E20" s="11"/>
    </row>
    <row r="21" spans="1:8" s="9" customFormat="1">
      <c r="D21" s="11"/>
      <c r="E21" s="11"/>
    </row>
    <row r="22" spans="1:8" s="9" customFormat="1">
      <c r="D22" s="11"/>
      <c r="E22" s="11"/>
    </row>
    <row r="23" spans="1:8" s="9" customFormat="1">
      <c r="D23" s="11"/>
      <c r="E23" s="11"/>
    </row>
    <row r="24" spans="1:8" s="9" customFormat="1">
      <c r="D24" s="11"/>
      <c r="E24" s="11"/>
    </row>
    <row r="25" spans="1:8" s="9" customFormat="1">
      <c r="D25" s="11"/>
      <c r="E25" s="11"/>
    </row>
    <row r="26" spans="1:8" s="9" customFormat="1">
      <c r="D26" s="11"/>
      <c r="E26" s="11"/>
    </row>
    <row r="27" spans="1:8" s="9" customFormat="1">
      <c r="D27" s="11"/>
      <c r="E27" s="11"/>
    </row>
    <row r="28" spans="1:8" s="9" customFormat="1">
      <c r="D28" s="11"/>
      <c r="E28" s="11"/>
    </row>
    <row r="29" spans="1:8" s="9" customFormat="1">
      <c r="D29" s="11"/>
      <c r="E29" s="11"/>
    </row>
    <row r="30" spans="1:8" s="9" customFormat="1">
      <c r="D30" s="11"/>
      <c r="E30" s="11"/>
    </row>
    <row r="31" spans="1:8" s="9" customFormat="1">
      <c r="D31" s="11"/>
      <c r="E31" s="11"/>
    </row>
    <row r="32" spans="1:8" s="9" customFormat="1">
      <c r="D32" s="11"/>
      <c r="E32" s="11"/>
    </row>
    <row r="33" spans="4:5" s="9" customFormat="1">
      <c r="D33" s="11"/>
      <c r="E33" s="11"/>
    </row>
    <row r="34" spans="4:5" s="9" customFormat="1">
      <c r="D34" s="14"/>
      <c r="E34" s="11"/>
    </row>
    <row r="35" spans="4:5" s="18" customFormat="1" ht="14">
      <c r="D35" s="14"/>
      <c r="E35" s="11"/>
    </row>
    <row r="36" spans="4:5" s="18" customFormat="1" ht="14">
      <c r="D36" s="14"/>
      <c r="E36" s="11"/>
    </row>
    <row r="37" spans="4:5" s="19" customFormat="1" ht="14">
      <c r="D37" s="11"/>
      <c r="E37" s="11"/>
    </row>
    <row r="38" spans="4:5" s="19" customFormat="1" ht="14">
      <c r="D38" s="11"/>
      <c r="E38" s="11"/>
    </row>
    <row r="39" spans="4:5" s="19" customFormat="1" ht="14">
      <c r="D39" s="11"/>
      <c r="E39" s="11"/>
    </row>
    <row r="40" spans="4:5" s="19" customFormat="1" ht="14"/>
    <row r="41" spans="4:5" s="19" customFormat="1" ht="14"/>
    <row r="42" spans="4:5" s="19" customFormat="1" ht="14"/>
    <row r="43" spans="4:5" s="19" customFormat="1" ht="14"/>
    <row r="44" spans="4:5" s="19" customFormat="1" ht="14"/>
    <row r="45" spans="4:5" s="19" customFormat="1" ht="14"/>
    <row r="46" spans="4:5" s="19" customFormat="1" ht="14"/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5CAB8-078B-441D-A8E3-332FFAF2C7EA}">
  <dimension ref="A1:W152"/>
  <sheetViews>
    <sheetView workbookViewId="0">
      <selection activeCell="R6" sqref="R6"/>
    </sheetView>
  </sheetViews>
  <sheetFormatPr defaultRowHeight="14"/>
  <cols>
    <col min="1" max="1" width="13.36328125" style="20" customWidth="1"/>
    <col min="2" max="2" width="11.7265625" style="20" customWidth="1"/>
    <col min="3" max="3" width="19.08984375" style="14" customWidth="1"/>
    <col min="4" max="4" width="41.6328125" style="20" customWidth="1"/>
    <col min="5" max="5" width="18" style="20" customWidth="1"/>
    <col min="6" max="6" width="15.26953125" style="40" customWidth="1"/>
    <col min="7" max="7" width="18.36328125" style="20" customWidth="1"/>
    <col min="8" max="8" width="9.90625" style="20" bestFit="1" customWidth="1"/>
    <col min="9" max="10" width="8.7265625" style="20"/>
    <col min="11" max="11" width="10.90625" style="20" customWidth="1"/>
    <col min="12" max="12" width="10.36328125" style="20" customWidth="1"/>
    <col min="13" max="13" width="10.26953125" style="20" customWidth="1"/>
    <col min="14" max="14" width="10.54296875" style="20" customWidth="1"/>
    <col min="15" max="16" width="8.7265625" style="20" customWidth="1"/>
    <col min="17" max="17" width="10.81640625" style="20" customWidth="1"/>
    <col min="18" max="18" width="11" style="20" customWidth="1"/>
    <col min="19" max="19" width="12.453125" style="20" customWidth="1"/>
    <col min="20" max="20" width="12.90625" style="20" customWidth="1"/>
    <col min="21" max="21" width="12.81640625" style="20" customWidth="1"/>
    <col min="22" max="22" width="13.6328125" style="20" customWidth="1"/>
    <col min="23" max="23" width="15.81640625" style="20" customWidth="1"/>
    <col min="24" max="16384" width="8.7265625" style="20"/>
  </cols>
  <sheetData>
    <row r="1" spans="1:23">
      <c r="A1" s="359" t="s">
        <v>34</v>
      </c>
      <c r="B1" s="360"/>
      <c r="C1" s="360"/>
      <c r="D1" s="360"/>
      <c r="E1" s="360"/>
      <c r="F1" s="360"/>
      <c r="G1" s="360"/>
      <c r="H1" s="360"/>
      <c r="I1" s="361"/>
    </row>
    <row r="2" spans="1:23">
      <c r="A2" s="1"/>
      <c r="B2" s="21"/>
      <c r="C2" s="1"/>
      <c r="D2" s="22" t="s">
        <v>1</v>
      </c>
      <c r="E2" s="2">
        <f>SUM(E4:E143)</f>
        <v>269906347.94019938</v>
      </c>
      <c r="F2" s="2">
        <f>SUM(F4:F175)</f>
        <v>104919000</v>
      </c>
      <c r="G2" s="2">
        <f>F2-E2</f>
        <v>-164987347.94019938</v>
      </c>
      <c r="H2" s="2"/>
      <c r="I2" s="23"/>
    </row>
    <row r="3" spans="1:23" ht="16" customHeight="1">
      <c r="A3" s="4" t="s">
        <v>2</v>
      </c>
      <c r="B3" s="24" t="s">
        <v>3</v>
      </c>
      <c r="C3" s="25" t="s">
        <v>4</v>
      </c>
      <c r="D3" s="26" t="s">
        <v>5</v>
      </c>
      <c r="E3" s="27" t="s">
        <v>6</v>
      </c>
      <c r="F3" s="27" t="s">
        <v>10</v>
      </c>
      <c r="G3" s="4" t="s">
        <v>11</v>
      </c>
      <c r="H3" s="4" t="s">
        <v>12</v>
      </c>
      <c r="I3" s="28" t="s">
        <v>9</v>
      </c>
      <c r="K3" s="29" t="s">
        <v>35</v>
      </c>
      <c r="L3" s="29" t="s">
        <v>165</v>
      </c>
      <c r="M3" s="29" t="s">
        <v>166</v>
      </c>
      <c r="N3" s="29" t="s">
        <v>167</v>
      </c>
      <c r="O3" s="29" t="s">
        <v>168</v>
      </c>
      <c r="P3" s="29" t="s">
        <v>169</v>
      </c>
      <c r="Q3" s="29" t="s">
        <v>170</v>
      </c>
      <c r="R3" s="29" t="s">
        <v>171</v>
      </c>
      <c r="S3" s="29" t="s">
        <v>13</v>
      </c>
      <c r="T3" s="29" t="s">
        <v>172</v>
      </c>
      <c r="U3" s="29"/>
      <c r="V3" s="30"/>
    </row>
    <row r="4" spans="1:23" s="14" customFormat="1" ht="20.149999999999999" customHeight="1">
      <c r="A4" s="8"/>
      <c r="B4" s="31"/>
      <c r="D4" s="32" t="s">
        <v>14</v>
      </c>
      <c r="E4" s="11">
        <f>132000000-4000000</f>
        <v>128000000</v>
      </c>
      <c r="F4" s="33"/>
      <c r="G4" s="12"/>
      <c r="H4" s="12"/>
      <c r="I4" s="13"/>
      <c r="K4" s="34" t="s">
        <v>36</v>
      </c>
      <c r="L4" s="35">
        <f>10%*G2</f>
        <v>-16498734.794019938</v>
      </c>
      <c r="M4" s="35">
        <f>20%*G2</f>
        <v>-32997469.588039875</v>
      </c>
      <c r="N4" s="35">
        <f>15%*G2</f>
        <v>-24748102.191029906</v>
      </c>
      <c r="O4" s="35">
        <f>5%*G2</f>
        <v>-8249367.3970099688</v>
      </c>
      <c r="P4" s="35">
        <f>15%*G2</f>
        <v>-24748102.191029906</v>
      </c>
      <c r="Q4" s="35">
        <f>10%*G2</f>
        <v>-16498734.794019938</v>
      </c>
      <c r="R4" s="35">
        <f>5%*G2</f>
        <v>-8249367.3970099688</v>
      </c>
      <c r="S4" s="35">
        <f>10%*G2</f>
        <v>-16498734.794019938</v>
      </c>
      <c r="T4" s="35">
        <f>10%*G2</f>
        <v>-16498734.794019938</v>
      </c>
      <c r="U4" s="35">
        <f>SUM(L4:T4)</f>
        <v>-164987347.94019938</v>
      </c>
      <c r="V4" s="35"/>
      <c r="W4" s="11"/>
    </row>
    <row r="5" spans="1:23" s="14" customFormat="1" ht="20.149999999999999" customHeight="1">
      <c r="A5" s="8"/>
      <c r="B5" s="31"/>
      <c r="D5" s="32" t="s">
        <v>15</v>
      </c>
      <c r="E5" s="11">
        <f>46000000+2000000</f>
        <v>48000000</v>
      </c>
      <c r="F5" s="33"/>
      <c r="G5" s="12"/>
      <c r="H5" s="12"/>
      <c r="I5" s="13"/>
      <c r="K5" s="36" t="s">
        <v>16</v>
      </c>
      <c r="L5" s="35">
        <v>23040000</v>
      </c>
      <c r="M5" s="35">
        <v>46080000</v>
      </c>
      <c r="N5" s="35">
        <v>34560000</v>
      </c>
      <c r="O5" s="35">
        <v>11520000</v>
      </c>
      <c r="P5" s="35">
        <v>34560000</v>
      </c>
      <c r="Q5" s="35">
        <v>23040000</v>
      </c>
      <c r="R5" s="35">
        <v>11520000</v>
      </c>
      <c r="S5" s="35">
        <v>23040000</v>
      </c>
      <c r="T5" s="35">
        <v>23040000</v>
      </c>
      <c r="U5" s="35">
        <f>SUM(L5:T5)</f>
        <v>230400000</v>
      </c>
      <c r="V5" s="35"/>
      <c r="W5" s="11"/>
    </row>
    <row r="6" spans="1:23" s="14" customFormat="1" ht="17" customHeight="1">
      <c r="A6" s="8"/>
      <c r="B6" s="31"/>
      <c r="D6" s="32" t="s">
        <v>17</v>
      </c>
      <c r="E6" s="37">
        <f>6200000+8200000</f>
        <v>14400000</v>
      </c>
      <c r="F6" s="33"/>
      <c r="G6" s="12"/>
      <c r="H6" s="12"/>
      <c r="I6" s="13"/>
      <c r="K6" s="36" t="s">
        <v>18</v>
      </c>
      <c r="L6" s="38">
        <f>L5+L4</f>
        <v>6541265.2059800625</v>
      </c>
      <c r="M6" s="38">
        <f t="shared" ref="M6:R6" si="0">M5+M4</f>
        <v>13082530.411960125</v>
      </c>
      <c r="N6" s="38">
        <f t="shared" si="0"/>
        <v>9811897.8089700937</v>
      </c>
      <c r="O6" s="38">
        <f t="shared" si="0"/>
        <v>3270632.6029900312</v>
      </c>
      <c r="P6" s="38">
        <f t="shared" si="0"/>
        <v>9811897.8089700937</v>
      </c>
      <c r="Q6" s="38">
        <f t="shared" si="0"/>
        <v>6541265.2059800625</v>
      </c>
      <c r="R6" s="38">
        <f t="shared" si="0"/>
        <v>3270632.6029900312</v>
      </c>
      <c r="S6" s="38">
        <f>S5+S4</f>
        <v>6541265.2059800625</v>
      </c>
      <c r="T6" s="38">
        <f>T5+T4</f>
        <v>6541265.2059800625</v>
      </c>
      <c r="U6" s="35">
        <f>SUM(L6:T6)</f>
        <v>65412652.059800625</v>
      </c>
      <c r="V6" s="38"/>
      <c r="W6" s="11"/>
    </row>
    <row r="7" spans="1:23" s="14" customFormat="1">
      <c r="A7" s="8"/>
      <c r="B7" s="31"/>
      <c r="D7" s="32" t="s">
        <v>19</v>
      </c>
      <c r="E7" s="37">
        <v>0</v>
      </c>
      <c r="F7" s="33"/>
      <c r="G7" s="12"/>
      <c r="H7" s="12"/>
      <c r="I7" s="13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40"/>
    </row>
    <row r="8" spans="1:23" s="14" customFormat="1">
      <c r="A8" s="8"/>
      <c r="B8" s="31"/>
      <c r="D8" s="41" t="s">
        <v>20</v>
      </c>
      <c r="E8" s="37">
        <v>0</v>
      </c>
      <c r="F8" s="33"/>
      <c r="G8" s="12"/>
      <c r="H8" s="12"/>
      <c r="I8" s="13"/>
      <c r="N8" s="35"/>
      <c r="U8" s="11"/>
    </row>
    <row r="9" spans="1:23" s="14" customFormat="1">
      <c r="A9" s="8"/>
      <c r="B9" s="31"/>
      <c r="D9" s="32" t="s">
        <v>70</v>
      </c>
      <c r="E9" s="37">
        <v>3000000</v>
      </c>
      <c r="F9" s="33"/>
      <c r="G9" s="12"/>
      <c r="H9" s="12"/>
      <c r="I9" s="13"/>
      <c r="Q9" s="11"/>
      <c r="W9" s="11"/>
    </row>
    <row r="10" spans="1:23" s="14" customFormat="1">
      <c r="A10" s="8"/>
      <c r="B10" s="31"/>
      <c r="D10" s="32" t="s">
        <v>21</v>
      </c>
      <c r="E10" s="37">
        <v>1500000</v>
      </c>
      <c r="F10" s="33"/>
      <c r="G10" s="12"/>
      <c r="H10" s="12"/>
      <c r="I10" s="15"/>
    </row>
    <row r="11" spans="1:23" s="14" customFormat="1">
      <c r="A11" s="8"/>
      <c r="B11" s="31"/>
      <c r="D11" s="32" t="s">
        <v>22</v>
      </c>
      <c r="E11" s="11">
        <f>(10000000/1204)*15</f>
        <v>124584.71760797342</v>
      </c>
      <c r="F11" s="33"/>
      <c r="G11" s="12"/>
      <c r="H11" s="12"/>
      <c r="I11" s="15"/>
    </row>
    <row r="12" spans="1:23" s="14" customFormat="1">
      <c r="A12" s="8"/>
      <c r="B12" s="31"/>
      <c r="D12" s="32" t="s">
        <v>23</v>
      </c>
      <c r="E12" s="11">
        <f>(10000000/1204)*15+7000*15</f>
        <v>229584.71760797343</v>
      </c>
      <c r="F12" s="33"/>
      <c r="G12" s="12"/>
      <c r="H12" s="12"/>
      <c r="I12" s="15"/>
    </row>
    <row r="13" spans="1:23" s="14" customFormat="1">
      <c r="A13" s="8"/>
      <c r="B13" s="31"/>
      <c r="D13" s="32" t="s">
        <v>24</v>
      </c>
      <c r="E13" s="11">
        <f>(8000000/1204)*15+5000*15</f>
        <v>174667.77408637875</v>
      </c>
      <c r="F13" s="33"/>
      <c r="G13" s="12"/>
      <c r="H13" s="12"/>
      <c r="I13" s="15"/>
    </row>
    <row r="14" spans="1:23" s="14" customFormat="1">
      <c r="A14" s="8"/>
      <c r="B14" s="31"/>
      <c r="D14" s="42" t="s">
        <v>25</v>
      </c>
      <c r="E14" s="11">
        <f>(SUM('[3]THÁNG 1'!$Y$132/1204)*15)</f>
        <v>356264.37707641197</v>
      </c>
      <c r="F14" s="33"/>
      <c r="G14" s="12"/>
      <c r="H14" s="12"/>
      <c r="I14" s="15"/>
    </row>
    <row r="15" spans="1:23" s="14" customFormat="1">
      <c r="A15" s="8"/>
      <c r="B15" s="31"/>
      <c r="D15" s="42" t="s">
        <v>26</v>
      </c>
      <c r="E15" s="11">
        <v>550000</v>
      </c>
      <c r="F15" s="33"/>
      <c r="G15" s="12"/>
      <c r="H15" s="12"/>
      <c r="I15" s="15"/>
    </row>
    <row r="16" spans="1:23" s="14" customFormat="1">
      <c r="A16" s="8"/>
      <c r="B16" s="31"/>
      <c r="D16" s="42" t="s">
        <v>27</v>
      </c>
      <c r="E16" s="11">
        <f>10000*15+10000+(2000000/1204)*15</f>
        <v>184916.94352159469</v>
      </c>
      <c r="F16" s="33"/>
      <c r="G16" s="12"/>
      <c r="H16" s="12"/>
      <c r="I16" s="15"/>
    </row>
    <row r="17" spans="1:9" s="14" customFormat="1">
      <c r="A17" s="8"/>
      <c r="B17" s="31"/>
      <c r="D17" s="42" t="s">
        <v>28</v>
      </c>
      <c r="E17" s="11">
        <f>(22000000/1204)*15</f>
        <v>274086.3787375415</v>
      </c>
      <c r="F17" s="33"/>
      <c r="G17" s="12"/>
      <c r="H17" s="12"/>
      <c r="I17" s="15"/>
    </row>
    <row r="18" spans="1:9" s="14" customFormat="1">
      <c r="A18" s="8"/>
      <c r="B18" s="31"/>
      <c r="D18" s="32" t="s">
        <v>29</v>
      </c>
      <c r="E18" s="11">
        <v>0</v>
      </c>
      <c r="F18" s="33"/>
      <c r="G18" s="12"/>
      <c r="H18" s="12"/>
      <c r="I18" s="15"/>
    </row>
    <row r="19" spans="1:9" s="14" customFormat="1">
      <c r="A19" s="8"/>
      <c r="B19" s="31"/>
      <c r="D19" s="32" t="s">
        <v>30</v>
      </c>
      <c r="E19" s="43">
        <f>('[4]THÁNG 1.26 '!$B$19/1204)*15</f>
        <v>576124.46013289038</v>
      </c>
      <c r="F19" s="33"/>
      <c r="G19" s="12"/>
      <c r="H19" s="12"/>
      <c r="I19" s="15"/>
    </row>
    <row r="20" spans="1:9" s="14" customFormat="1">
      <c r="A20" s="8"/>
      <c r="B20" s="31"/>
      <c r="D20" s="32" t="s">
        <v>31</v>
      </c>
      <c r="E20" s="11">
        <f>('[4]THÁNG 1.26 '!$F$10/1204)*15</f>
        <v>55118.571428571428</v>
      </c>
      <c r="F20" s="33"/>
      <c r="G20" s="12"/>
      <c r="H20" s="12"/>
      <c r="I20" s="15"/>
    </row>
    <row r="21" spans="1:9" s="14" customFormat="1">
      <c r="A21" s="8"/>
      <c r="B21" s="31"/>
      <c r="D21" s="32" t="s">
        <v>32</v>
      </c>
      <c r="E21" s="11">
        <v>0</v>
      </c>
      <c r="F21" s="33"/>
      <c r="G21" s="12"/>
      <c r="H21" s="12"/>
      <c r="I21" s="15"/>
    </row>
    <row r="22" spans="1:9" s="14" customFormat="1">
      <c r="A22" s="8"/>
      <c r="B22" s="31"/>
      <c r="D22" s="32" t="s">
        <v>33</v>
      </c>
      <c r="E22" s="11">
        <v>0</v>
      </c>
      <c r="F22" s="33"/>
      <c r="G22" s="12"/>
      <c r="H22" s="12"/>
      <c r="I22" s="15"/>
    </row>
    <row r="23" spans="1:9" s="49" customFormat="1">
      <c r="A23" s="47"/>
      <c r="B23" s="48"/>
      <c r="D23" s="32" t="s">
        <v>52</v>
      </c>
      <c r="E23" s="11">
        <v>1800000</v>
      </c>
      <c r="F23" s="33"/>
      <c r="G23" s="44"/>
      <c r="H23" s="44"/>
      <c r="I23" s="50"/>
    </row>
    <row r="24" spans="1:9" s="45" customFormat="1">
      <c r="D24" s="11" t="s">
        <v>53</v>
      </c>
      <c r="E24" s="11">
        <v>0</v>
      </c>
      <c r="F24" s="11"/>
    </row>
    <row r="25" spans="1:9" s="45" customFormat="1">
      <c r="D25" s="11" t="s">
        <v>54</v>
      </c>
      <c r="E25" s="11">
        <v>1900000</v>
      </c>
      <c r="F25" s="11"/>
    </row>
    <row r="26" spans="1:9" s="45" customFormat="1">
      <c r="D26" s="11" t="s">
        <v>55</v>
      </c>
      <c r="E26" s="11">
        <v>1900000</v>
      </c>
      <c r="F26" s="11"/>
    </row>
    <row r="27" spans="1:9" s="45" customFormat="1">
      <c r="D27" s="11" t="s">
        <v>56</v>
      </c>
      <c r="E27" s="11">
        <v>1950000</v>
      </c>
      <c r="F27" s="11"/>
    </row>
    <row r="28" spans="1:9" s="45" customFormat="1">
      <c r="D28" s="11" t="s">
        <v>57</v>
      </c>
      <c r="E28" s="11">
        <v>1900000</v>
      </c>
      <c r="F28" s="11"/>
    </row>
    <row r="29" spans="1:9" s="45" customFormat="1">
      <c r="D29" s="11" t="s">
        <v>58</v>
      </c>
      <c r="E29" s="11">
        <v>2000000</v>
      </c>
      <c r="F29" s="11"/>
    </row>
    <row r="30" spans="1:9" s="45" customFormat="1">
      <c r="D30" s="11" t="s">
        <v>59</v>
      </c>
      <c r="E30" s="11">
        <v>2050000</v>
      </c>
      <c r="F30" s="11"/>
    </row>
    <row r="31" spans="1:9" s="45" customFormat="1">
      <c r="D31" s="10" t="s">
        <v>60</v>
      </c>
      <c r="E31" s="11">
        <v>1950000</v>
      </c>
      <c r="F31" s="11"/>
    </row>
    <row r="32" spans="1:9" s="45" customFormat="1">
      <c r="D32" s="10" t="s">
        <v>61</v>
      </c>
      <c r="E32" s="11">
        <f>975000*2</f>
        <v>1950000</v>
      </c>
      <c r="F32" s="11"/>
    </row>
    <row r="33" spans="4:6" s="45" customFormat="1">
      <c r="D33" s="10" t="s">
        <v>62</v>
      </c>
      <c r="E33" s="11">
        <v>1950000</v>
      </c>
      <c r="F33" s="11"/>
    </row>
    <row r="34" spans="4:6" s="45" customFormat="1">
      <c r="D34" s="11" t="s">
        <v>63</v>
      </c>
      <c r="E34" s="11">
        <v>1950000</v>
      </c>
      <c r="F34" s="11"/>
    </row>
    <row r="35" spans="4:6" s="45" customFormat="1">
      <c r="D35" s="11" t="s">
        <v>64</v>
      </c>
      <c r="E35" s="11">
        <f>3800000/2</f>
        <v>1900000</v>
      </c>
      <c r="F35" s="11"/>
    </row>
    <row r="36" spans="4:6" s="45" customFormat="1">
      <c r="D36" s="11" t="s">
        <v>65</v>
      </c>
      <c r="E36" s="11">
        <v>1500000</v>
      </c>
      <c r="F36" s="11"/>
    </row>
    <row r="37" spans="4:6" s="45" customFormat="1">
      <c r="D37" s="11" t="s">
        <v>66</v>
      </c>
      <c r="E37" s="11">
        <v>1750000</v>
      </c>
      <c r="F37" s="11"/>
    </row>
    <row r="38" spans="4:6" s="45" customFormat="1">
      <c r="D38" s="11" t="s">
        <v>67</v>
      </c>
      <c r="E38" s="11">
        <v>356000</v>
      </c>
      <c r="F38" s="11"/>
    </row>
    <row r="39" spans="4:6" s="45" customFormat="1">
      <c r="D39" s="142" t="s">
        <v>68</v>
      </c>
      <c r="E39" s="142">
        <v>1175000</v>
      </c>
      <c r="F39" s="11"/>
    </row>
    <row r="40" spans="4:6" s="45" customFormat="1">
      <c r="D40" s="11" t="s">
        <v>69</v>
      </c>
      <c r="E40" s="11">
        <v>60000</v>
      </c>
      <c r="F40" s="11"/>
    </row>
    <row r="41" spans="4:6" s="45" customFormat="1">
      <c r="D41" s="142" t="s">
        <v>71</v>
      </c>
      <c r="E41" s="142">
        <v>5355000</v>
      </c>
      <c r="F41" s="11"/>
    </row>
    <row r="42" spans="4:6" s="45" customFormat="1">
      <c r="D42" s="11" t="s">
        <v>72</v>
      </c>
      <c r="E42" s="11">
        <v>50000</v>
      </c>
      <c r="F42" s="11"/>
    </row>
    <row r="43" spans="4:6" s="45" customFormat="1">
      <c r="D43" s="11" t="s">
        <v>73</v>
      </c>
      <c r="E43" s="11">
        <v>34000</v>
      </c>
      <c r="F43" s="11"/>
    </row>
    <row r="44" spans="4:6" s="45" customFormat="1">
      <c r="D44" s="11" t="s">
        <v>74</v>
      </c>
      <c r="E44" s="11">
        <v>120000</v>
      </c>
      <c r="F44" s="11"/>
    </row>
    <row r="45" spans="4:6" s="45" customFormat="1">
      <c r="D45" s="10" t="s">
        <v>75</v>
      </c>
      <c r="E45" s="11">
        <v>24000</v>
      </c>
      <c r="F45" s="11"/>
    </row>
    <row r="46" spans="4:6" s="45" customFormat="1">
      <c r="D46" s="142" t="s">
        <v>76</v>
      </c>
      <c r="E46" s="142">
        <v>3200000</v>
      </c>
      <c r="F46" s="11"/>
    </row>
    <row r="47" spans="4:6" s="45" customFormat="1">
      <c r="D47" s="11" t="s">
        <v>77</v>
      </c>
      <c r="E47" s="11">
        <v>2550000</v>
      </c>
      <c r="F47" s="11"/>
    </row>
    <row r="48" spans="4:6" s="45" customFormat="1">
      <c r="D48" s="142" t="s">
        <v>78</v>
      </c>
      <c r="E48" s="142">
        <v>5000000</v>
      </c>
      <c r="F48" s="11"/>
    </row>
    <row r="49" spans="4:6" s="45" customFormat="1">
      <c r="D49" s="142" t="s">
        <v>79</v>
      </c>
      <c r="E49" s="142">
        <v>4782000</v>
      </c>
      <c r="F49" s="11"/>
    </row>
    <row r="50" spans="4:6" s="45" customFormat="1">
      <c r="D50" s="142" t="s">
        <v>80</v>
      </c>
      <c r="E50" s="142">
        <v>12600000</v>
      </c>
      <c r="F50" s="11"/>
    </row>
    <row r="51" spans="4:6" s="45" customFormat="1">
      <c r="D51" s="142" t="s">
        <v>81</v>
      </c>
      <c r="E51" s="142">
        <v>4150000</v>
      </c>
      <c r="F51" s="11"/>
    </row>
    <row r="52" spans="4:6" s="45" customFormat="1">
      <c r="D52" s="11" t="s">
        <v>82</v>
      </c>
      <c r="E52" s="11">
        <v>130000</v>
      </c>
      <c r="F52" s="11"/>
    </row>
    <row r="53" spans="4:6" s="45" customFormat="1">
      <c r="D53" s="142" t="s">
        <v>83</v>
      </c>
      <c r="E53" s="142">
        <v>2600000</v>
      </c>
      <c r="F53" s="11"/>
    </row>
    <row r="54" spans="4:6" s="45" customFormat="1">
      <c r="D54" s="11" t="s">
        <v>84</v>
      </c>
      <c r="E54" s="11">
        <v>500000</v>
      </c>
      <c r="F54" s="11"/>
    </row>
    <row r="55" spans="4:6" s="45" customFormat="1">
      <c r="D55" s="11" t="s">
        <v>85</v>
      </c>
      <c r="E55" s="11">
        <v>2100000</v>
      </c>
      <c r="F55" s="11"/>
    </row>
    <row r="56" spans="4:6" s="45" customFormat="1">
      <c r="D56" s="11" t="s">
        <v>86</v>
      </c>
      <c r="E56" s="11">
        <f>1125000+120000</f>
        <v>1245000</v>
      </c>
      <c r="F56" s="11"/>
    </row>
    <row r="57" spans="4:6" s="45" customFormat="1">
      <c r="D57" s="11" t="s">
        <v>164</v>
      </c>
      <c r="E57" s="11"/>
      <c r="F57" s="11">
        <f>'HD T1.26'!AT4</f>
        <v>104919000</v>
      </c>
    </row>
    <row r="58" spans="4:6" s="45" customFormat="1">
      <c r="D58" s="11"/>
      <c r="E58" s="11"/>
      <c r="F58" s="11"/>
    </row>
    <row r="59" spans="4:6" s="45" customFormat="1">
      <c r="D59" s="11"/>
      <c r="E59" s="11"/>
      <c r="F59" s="11"/>
    </row>
    <row r="60" spans="4:6" s="45" customFormat="1">
      <c r="D60" s="11"/>
      <c r="E60" s="11"/>
      <c r="F60" s="11"/>
    </row>
    <row r="61" spans="4:6" s="45" customFormat="1">
      <c r="D61" s="11"/>
      <c r="E61" s="11"/>
      <c r="F61" s="11"/>
    </row>
    <row r="62" spans="4:6" s="45" customFormat="1">
      <c r="D62" s="11"/>
      <c r="E62" s="11"/>
      <c r="F62" s="11"/>
    </row>
    <row r="63" spans="4:6" s="45" customFormat="1">
      <c r="D63" s="11"/>
      <c r="E63" s="11"/>
      <c r="F63" s="11"/>
    </row>
    <row r="64" spans="4:6" s="45" customFormat="1">
      <c r="D64" s="11"/>
      <c r="E64" s="11"/>
      <c r="F64" s="11"/>
    </row>
    <row r="65" spans="4:6" s="45" customFormat="1">
      <c r="D65" s="11"/>
      <c r="E65" s="11"/>
      <c r="F65" s="11"/>
    </row>
    <row r="66" spans="4:6" s="45" customFormat="1">
      <c r="D66" s="11"/>
      <c r="E66" s="11"/>
      <c r="F66" s="11"/>
    </row>
    <row r="67" spans="4:6" s="45" customFormat="1">
      <c r="D67" s="11"/>
      <c r="E67" s="11"/>
      <c r="F67" s="11"/>
    </row>
    <row r="68" spans="4:6" s="45" customFormat="1">
      <c r="D68" s="11"/>
      <c r="E68" s="11"/>
      <c r="F68" s="11"/>
    </row>
    <row r="69" spans="4:6" s="45" customFormat="1">
      <c r="D69" s="11"/>
      <c r="E69" s="11"/>
      <c r="F69" s="11"/>
    </row>
    <row r="70" spans="4:6" s="45" customFormat="1">
      <c r="D70" s="10"/>
      <c r="E70" s="11"/>
      <c r="F70" s="11"/>
    </row>
    <row r="71" spans="4:6" s="45" customFormat="1">
      <c r="D71" s="11"/>
      <c r="E71" s="11"/>
      <c r="F71" s="11"/>
    </row>
    <row r="72" spans="4:6" s="45" customFormat="1">
      <c r="D72" s="11"/>
      <c r="E72" s="11"/>
      <c r="F72" s="11"/>
    </row>
    <row r="73" spans="4:6" s="45" customFormat="1">
      <c r="D73" s="11"/>
      <c r="E73" s="11"/>
      <c r="F73" s="11"/>
    </row>
    <row r="74" spans="4:6" s="45" customFormat="1">
      <c r="D74" s="11"/>
      <c r="E74" s="11"/>
      <c r="F74" s="11"/>
    </row>
    <row r="75" spans="4:6" s="45" customFormat="1">
      <c r="D75" s="11"/>
      <c r="E75" s="11"/>
      <c r="F75" s="11"/>
    </row>
    <row r="76" spans="4:6" s="45" customFormat="1">
      <c r="D76" s="11"/>
      <c r="E76" s="11"/>
      <c r="F76" s="11"/>
    </row>
    <row r="77" spans="4:6" s="45" customFormat="1">
      <c r="D77" s="11"/>
      <c r="E77" s="11"/>
      <c r="F77" s="11"/>
    </row>
    <row r="78" spans="4:6" s="45" customFormat="1">
      <c r="D78" s="11"/>
      <c r="E78" s="11"/>
      <c r="F78" s="11"/>
    </row>
    <row r="79" spans="4:6" s="45" customFormat="1">
      <c r="D79" s="11"/>
      <c r="E79" s="11"/>
      <c r="F79" s="11"/>
    </row>
    <row r="80" spans="4:6" s="45" customFormat="1">
      <c r="D80" s="11"/>
      <c r="E80" s="11"/>
      <c r="F80" s="11"/>
    </row>
    <row r="81" spans="4:6" s="45" customFormat="1">
      <c r="D81" s="11"/>
      <c r="E81" s="11"/>
      <c r="F81" s="11"/>
    </row>
    <row r="82" spans="4:6" s="45" customFormat="1">
      <c r="D82" s="11"/>
      <c r="E82" s="11"/>
      <c r="F82" s="11"/>
    </row>
    <row r="83" spans="4:6" s="45" customFormat="1">
      <c r="D83" s="11"/>
      <c r="E83" s="11"/>
      <c r="F83" s="11"/>
    </row>
    <row r="84" spans="4:6" s="45" customFormat="1">
      <c r="D84" s="11"/>
      <c r="E84" s="11"/>
      <c r="F84" s="11"/>
    </row>
    <row r="85" spans="4:6" s="45" customFormat="1">
      <c r="D85" s="11"/>
      <c r="E85" s="11"/>
      <c r="F85" s="11"/>
    </row>
    <row r="86" spans="4:6" s="45" customFormat="1">
      <c r="D86" s="11"/>
      <c r="E86" s="11"/>
      <c r="F86" s="11"/>
    </row>
    <row r="87" spans="4:6" s="45" customFormat="1">
      <c r="D87" s="11"/>
      <c r="E87" s="11"/>
      <c r="F87" s="11"/>
    </row>
    <row r="88" spans="4:6" s="45" customFormat="1">
      <c r="D88" s="11"/>
      <c r="E88" s="11"/>
      <c r="F88" s="11"/>
    </row>
    <row r="89" spans="4:6" s="45" customFormat="1">
      <c r="D89" s="11"/>
      <c r="E89" s="11"/>
      <c r="F89" s="11"/>
    </row>
    <row r="90" spans="4:6" s="45" customFormat="1">
      <c r="D90" s="11"/>
      <c r="E90" s="11"/>
      <c r="F90" s="11"/>
    </row>
    <row r="91" spans="4:6" s="45" customFormat="1"/>
    <row r="92" spans="4:6" s="45" customFormat="1">
      <c r="D92" s="11"/>
      <c r="E92" s="11"/>
      <c r="F92" s="11"/>
    </row>
    <row r="93" spans="4:6" s="45" customFormat="1">
      <c r="D93" s="11"/>
      <c r="E93" s="11"/>
      <c r="F93" s="11"/>
    </row>
    <row r="94" spans="4:6" s="45" customFormat="1">
      <c r="D94" s="11"/>
      <c r="E94" s="11"/>
      <c r="F94" s="11"/>
    </row>
    <row r="95" spans="4:6" s="45" customFormat="1">
      <c r="D95" s="11"/>
      <c r="E95" s="11"/>
      <c r="F95" s="11"/>
    </row>
    <row r="96" spans="4:6" s="45" customFormat="1">
      <c r="D96" s="11"/>
      <c r="E96" s="11"/>
      <c r="F96" s="11"/>
    </row>
    <row r="97" spans="4:6" s="45" customFormat="1">
      <c r="D97" s="11"/>
      <c r="E97" s="11"/>
      <c r="F97" s="11"/>
    </row>
    <row r="98" spans="4:6" s="45" customFormat="1">
      <c r="D98" s="11"/>
      <c r="E98" s="11"/>
      <c r="F98" s="11"/>
    </row>
    <row r="99" spans="4:6" s="11" customFormat="1"/>
    <row r="100" spans="4:6" s="11" customFormat="1"/>
    <row r="101" spans="4:6" s="11" customFormat="1"/>
    <row r="102" spans="4:6" s="11" customFormat="1"/>
    <row r="103" spans="4:6" s="11" customFormat="1"/>
    <row r="104" spans="4:6" s="11" customFormat="1"/>
    <row r="105" spans="4:6" s="11" customFormat="1"/>
    <row r="106" spans="4:6" s="11" customFormat="1"/>
    <row r="107" spans="4:6" s="11" customFormat="1"/>
    <row r="108" spans="4:6" s="11" customFormat="1"/>
    <row r="109" spans="4:6" s="11" customFormat="1"/>
    <row r="110" spans="4:6" s="11" customFormat="1"/>
    <row r="111" spans="4:6" s="11" customFormat="1"/>
    <row r="112" spans="4:6" s="11" customFormat="1"/>
    <row r="113" s="11" customFormat="1"/>
    <row r="114" s="11" customFormat="1"/>
    <row r="115" s="11" customFormat="1"/>
    <row r="116" s="11" customFormat="1"/>
    <row r="117" s="11" customFormat="1"/>
    <row r="118" s="11" customFormat="1"/>
    <row r="119" s="11" customFormat="1"/>
    <row r="120" s="11" customFormat="1"/>
    <row r="121" s="11" customFormat="1"/>
    <row r="122" s="11" customFormat="1"/>
    <row r="123" s="11" customFormat="1"/>
    <row r="124" s="11" customFormat="1"/>
    <row r="125" s="11" customFormat="1"/>
    <row r="126" s="11" customFormat="1"/>
    <row r="127" s="11" customFormat="1"/>
    <row r="128" s="11" customFormat="1"/>
    <row r="129" spans="5:6" s="11" customFormat="1"/>
    <row r="130" spans="5:6" s="11" customFormat="1"/>
    <row r="131" spans="5:6" s="11" customFormat="1"/>
    <row r="132" spans="5:6" s="11" customFormat="1" ht="12.5" customHeight="1"/>
    <row r="133" spans="5:6" s="14" customFormat="1">
      <c r="E133" s="11"/>
      <c r="F133" s="11"/>
    </row>
    <row r="134" spans="5:6" s="14" customFormat="1">
      <c r="E134" s="11"/>
      <c r="F134" s="11"/>
    </row>
    <row r="135" spans="5:6" s="14" customFormat="1">
      <c r="E135" s="11"/>
      <c r="F135" s="11"/>
    </row>
    <row r="136" spans="5:6" s="14" customFormat="1">
      <c r="E136" s="11"/>
      <c r="F136" s="11"/>
    </row>
    <row r="137" spans="5:6" s="14" customFormat="1">
      <c r="E137" s="11"/>
      <c r="F137" s="11"/>
    </row>
    <row r="138" spans="5:6" s="14" customFormat="1">
      <c r="E138" s="11"/>
      <c r="F138" s="11"/>
    </row>
    <row r="139" spans="5:6" s="14" customFormat="1">
      <c r="E139" s="11"/>
      <c r="F139" s="11"/>
    </row>
    <row r="140" spans="5:6" s="14" customFormat="1">
      <c r="E140" s="11"/>
      <c r="F140" s="11"/>
    </row>
    <row r="141" spans="5:6" s="14" customFormat="1">
      <c r="E141" s="11"/>
      <c r="F141" s="11"/>
    </row>
    <row r="142" spans="5:6" s="14" customFormat="1">
      <c r="E142" s="11"/>
      <c r="F142" s="11"/>
    </row>
    <row r="143" spans="5:6" s="14" customFormat="1">
      <c r="E143" s="11"/>
      <c r="F143" s="11"/>
    </row>
    <row r="144" spans="5:6" s="14" customFormat="1">
      <c r="E144" s="11"/>
      <c r="F144" s="11"/>
    </row>
    <row r="145" spans="3:6" s="14" customFormat="1">
      <c r="E145" s="11"/>
      <c r="F145" s="11"/>
    </row>
    <row r="146" spans="3:6" s="14" customFormat="1">
      <c r="E146" s="11"/>
      <c r="F146" s="11"/>
    </row>
    <row r="147" spans="3:6" s="14" customFormat="1">
      <c r="E147" s="11"/>
      <c r="F147" s="11"/>
    </row>
    <row r="148" spans="3:6" s="14" customFormat="1">
      <c r="F148" s="11"/>
    </row>
    <row r="149" spans="3:6" s="14" customFormat="1">
      <c r="F149" s="11"/>
    </row>
    <row r="150" spans="3:6" s="14" customFormat="1">
      <c r="F150" s="11"/>
    </row>
    <row r="151" spans="3:6" s="14" customFormat="1">
      <c r="F151" s="11"/>
    </row>
    <row r="152" spans="3:6">
      <c r="C152" s="46"/>
    </row>
  </sheetData>
  <autoFilter ref="A2:W139" xr:uid="{14A591D9-591A-4FC9-8715-983688305760}"/>
  <mergeCells count="1">
    <mergeCell ref="A1:I1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E4D25-3AC0-4DDA-90B8-7071444BF8CB}">
  <dimension ref="A1:CC406"/>
  <sheetViews>
    <sheetView workbookViewId="0">
      <pane xSplit="1" ySplit="2" topLeftCell="AR3" activePane="bottomRight" state="frozen"/>
      <selection pane="topRight" activeCell="B1" sqref="B1"/>
      <selection pane="bottomLeft" activeCell="A3" sqref="A3"/>
      <selection pane="bottomRight" activeCell="AT5" sqref="AT5"/>
    </sheetView>
  </sheetViews>
  <sheetFormatPr defaultColWidth="14.453125" defaultRowHeight="15" customHeight="1"/>
  <cols>
    <col min="1" max="3" width="11.7265625" style="65" customWidth="1"/>
    <col min="4" max="4" width="22.7265625" style="65" customWidth="1"/>
    <col min="5" max="5" width="11.7265625" style="65" customWidth="1"/>
    <col min="6" max="6" width="17.453125" style="65" customWidth="1"/>
    <col min="7" max="7" width="18.54296875" style="65" customWidth="1"/>
    <col min="8" max="8" width="16.453125" style="65" customWidth="1"/>
    <col min="9" max="9" width="13.54296875" style="65" customWidth="1"/>
    <col min="10" max="11" width="11.7265625" style="65" customWidth="1"/>
    <col min="12" max="12" width="13.453125" style="65" customWidth="1"/>
    <col min="13" max="13" width="12.26953125" style="65" customWidth="1"/>
    <col min="14" max="18" width="11.7265625" style="65" customWidth="1"/>
    <col min="19" max="19" width="16" style="65" customWidth="1"/>
    <col min="20" max="39" width="11.7265625" style="65" customWidth="1"/>
    <col min="40" max="40" width="13.453125" style="65" customWidth="1"/>
    <col min="41" max="41" width="11.7265625" style="65" customWidth="1"/>
    <col min="42" max="42" width="19.08984375" style="65" customWidth="1"/>
    <col min="43" max="43" width="18.54296875" style="65" customWidth="1"/>
    <col min="44" max="44" width="17.81640625" style="65" customWidth="1"/>
    <col min="45" max="45" width="61.08984375" style="65" customWidth="1"/>
    <col min="46" max="46" width="27.08984375" style="65" customWidth="1"/>
    <col min="47" max="47" width="16.81640625" style="65" customWidth="1"/>
    <col min="48" max="48" width="17.81640625" style="65" customWidth="1"/>
    <col min="49" max="49" width="17" style="65" customWidth="1"/>
    <col min="50" max="50" width="22.26953125" style="65" customWidth="1"/>
    <col min="51" max="51" width="10.81640625" style="65" customWidth="1"/>
    <col min="52" max="52" width="11.26953125" style="65" customWidth="1"/>
    <col min="53" max="53" width="13.54296875" style="65" customWidth="1"/>
    <col min="54" max="55" width="12.453125" style="65" customWidth="1"/>
    <col min="56" max="56" width="13.54296875" style="65" customWidth="1"/>
    <col min="57" max="57" width="13.81640625" style="65" customWidth="1"/>
    <col min="58" max="58" width="12.7265625" style="65" customWidth="1"/>
    <col min="59" max="60" width="16.453125" style="65" customWidth="1"/>
    <col min="61" max="61" width="10" style="65" customWidth="1"/>
    <col min="62" max="62" width="10.7265625" style="65" customWidth="1"/>
    <col min="63" max="63" width="12" style="65" customWidth="1"/>
    <col min="64" max="64" width="10.54296875" style="65" customWidth="1"/>
    <col min="65" max="65" width="45.54296875" style="65" hidden="1" customWidth="1"/>
    <col min="66" max="66" width="14.81640625" style="65" customWidth="1"/>
    <col min="67" max="67" width="16.7265625" style="65" customWidth="1"/>
    <col min="68" max="68" width="46" style="65" customWidth="1"/>
    <col min="69" max="69" width="21.453125" style="65" customWidth="1"/>
    <col min="70" max="70" width="24.81640625" style="65" customWidth="1"/>
    <col min="71" max="71" width="39.08984375" style="65" customWidth="1"/>
    <col min="72" max="75" width="16.7265625" style="65" customWidth="1"/>
    <col min="76" max="79" width="11.7265625" style="65" customWidth="1"/>
    <col min="80" max="80" width="18.08984375" style="65" customWidth="1"/>
    <col min="81" max="81" width="13.08984375" style="65" customWidth="1"/>
    <col min="82" max="16384" width="14.453125" style="65"/>
  </cols>
  <sheetData>
    <row r="1" spans="1:81" ht="34.5" customHeight="1">
      <c r="A1" s="51">
        <v>0</v>
      </c>
      <c r="B1" s="52">
        <v>2</v>
      </c>
      <c r="C1" s="53">
        <v>3</v>
      </c>
      <c r="D1" s="54">
        <v>1</v>
      </c>
      <c r="E1" s="53">
        <v>5</v>
      </c>
      <c r="F1" s="55">
        <v>6</v>
      </c>
      <c r="G1" s="55">
        <v>7</v>
      </c>
      <c r="H1" s="55">
        <v>8</v>
      </c>
      <c r="I1" s="56"/>
      <c r="J1" s="53">
        <v>10</v>
      </c>
      <c r="K1" s="53">
        <v>11</v>
      </c>
      <c r="L1" s="57"/>
      <c r="M1" s="58">
        <v>13</v>
      </c>
      <c r="N1" s="52">
        <v>14</v>
      </c>
      <c r="O1" s="59">
        <v>15</v>
      </c>
      <c r="P1" s="59">
        <v>16</v>
      </c>
      <c r="Q1" s="53">
        <v>17</v>
      </c>
      <c r="R1" s="53">
        <v>18</v>
      </c>
      <c r="S1" s="58">
        <v>19</v>
      </c>
      <c r="T1" s="59">
        <v>20</v>
      </c>
      <c r="U1" s="59">
        <v>21</v>
      </c>
      <c r="V1" s="53">
        <v>22</v>
      </c>
      <c r="W1" s="53">
        <v>23</v>
      </c>
      <c r="X1" s="59">
        <v>24</v>
      </c>
      <c r="Y1" s="53">
        <v>25</v>
      </c>
      <c r="Z1" s="53">
        <v>26</v>
      </c>
      <c r="AA1" s="53">
        <v>27</v>
      </c>
      <c r="AB1" s="53">
        <v>28</v>
      </c>
      <c r="AC1" s="53">
        <v>29</v>
      </c>
      <c r="AD1" s="53">
        <v>30</v>
      </c>
      <c r="AE1" s="53">
        <v>31</v>
      </c>
      <c r="AF1" s="53">
        <v>32</v>
      </c>
      <c r="AG1" s="53">
        <v>33</v>
      </c>
      <c r="AH1" s="53">
        <v>34</v>
      </c>
      <c r="AI1" s="53">
        <v>35</v>
      </c>
      <c r="AJ1" s="53">
        <v>36</v>
      </c>
      <c r="AK1" s="53">
        <v>37</v>
      </c>
      <c r="AL1" s="59">
        <v>38</v>
      </c>
      <c r="AM1" s="60">
        <v>39</v>
      </c>
      <c r="AN1" s="53">
        <v>40</v>
      </c>
      <c r="AO1" s="53">
        <v>41</v>
      </c>
      <c r="AP1" s="53">
        <v>42</v>
      </c>
      <c r="AQ1" s="60">
        <v>43</v>
      </c>
      <c r="AR1" s="60">
        <v>44</v>
      </c>
      <c r="AS1" s="61">
        <v>45</v>
      </c>
      <c r="AT1" s="62">
        <v>46</v>
      </c>
      <c r="AU1" s="53" t="s">
        <v>87</v>
      </c>
      <c r="AV1" s="61"/>
      <c r="AW1" s="63"/>
      <c r="AX1" s="58">
        <v>48</v>
      </c>
      <c r="AY1" s="53"/>
      <c r="AZ1" s="53"/>
      <c r="BA1" s="53"/>
      <c r="BB1" s="53"/>
      <c r="BC1" s="53"/>
      <c r="BD1" s="53"/>
      <c r="BE1" s="53"/>
      <c r="BF1" s="53"/>
      <c r="BG1" s="53"/>
      <c r="BH1" s="58"/>
      <c r="BI1" s="53"/>
      <c r="BJ1" s="53"/>
      <c r="BK1" s="53"/>
      <c r="BL1" s="53"/>
      <c r="BM1" s="53"/>
      <c r="BN1" s="53"/>
      <c r="BO1" s="64"/>
      <c r="BP1" s="53"/>
      <c r="BQ1" s="64"/>
      <c r="BR1" s="53"/>
      <c r="BS1" s="53"/>
      <c r="BT1" s="53"/>
      <c r="BU1" s="53"/>
      <c r="BV1" s="53"/>
      <c r="BW1" s="53">
        <v>49</v>
      </c>
      <c r="BX1" s="53">
        <v>50</v>
      </c>
      <c r="BY1" s="53">
        <v>51</v>
      </c>
      <c r="BZ1" s="53">
        <v>52</v>
      </c>
      <c r="CA1" s="53">
        <v>53</v>
      </c>
      <c r="CB1" s="53">
        <v>54</v>
      </c>
      <c r="CC1" s="53">
        <v>55</v>
      </c>
    </row>
    <row r="2" spans="1:81" ht="39" customHeight="1">
      <c r="A2" s="66" t="s">
        <v>88</v>
      </c>
      <c r="B2" s="67" t="s">
        <v>8</v>
      </c>
      <c r="C2" s="67" t="s">
        <v>9</v>
      </c>
      <c r="D2" s="67" t="s">
        <v>89</v>
      </c>
      <c r="E2" s="67" t="s">
        <v>90</v>
      </c>
      <c r="F2" s="68" t="s">
        <v>91</v>
      </c>
      <c r="G2" s="68" t="s">
        <v>92</v>
      </c>
      <c r="H2" s="69" t="s">
        <v>93</v>
      </c>
      <c r="I2" s="68" t="s">
        <v>94</v>
      </c>
      <c r="J2" s="67" t="s">
        <v>95</v>
      </c>
      <c r="K2" s="67" t="s">
        <v>96</v>
      </c>
      <c r="L2" s="70" t="s">
        <v>97</v>
      </c>
      <c r="M2" s="68" t="s">
        <v>98</v>
      </c>
      <c r="N2" s="67" t="s">
        <v>99</v>
      </c>
      <c r="O2" s="362" t="s">
        <v>100</v>
      </c>
      <c r="P2" s="363"/>
      <c r="Q2" s="363"/>
      <c r="R2" s="363"/>
      <c r="S2" s="364"/>
      <c r="T2" s="362" t="s">
        <v>20</v>
      </c>
      <c r="U2" s="363"/>
      <c r="V2" s="363"/>
      <c r="W2" s="363"/>
      <c r="X2" s="364"/>
      <c r="Y2" s="365" t="s">
        <v>101</v>
      </c>
      <c r="Z2" s="363"/>
      <c r="AA2" s="364"/>
      <c r="AB2" s="365" t="s">
        <v>102</v>
      </c>
      <c r="AC2" s="363"/>
      <c r="AD2" s="364"/>
      <c r="AE2" s="362" t="s">
        <v>103</v>
      </c>
      <c r="AF2" s="363"/>
      <c r="AG2" s="364"/>
      <c r="AH2" s="362" t="s">
        <v>104</v>
      </c>
      <c r="AI2" s="363"/>
      <c r="AJ2" s="364"/>
      <c r="AK2" s="362" t="s">
        <v>105</v>
      </c>
      <c r="AL2" s="363"/>
      <c r="AM2" s="364"/>
      <c r="AN2" s="366" t="s">
        <v>106</v>
      </c>
      <c r="AO2" s="363"/>
      <c r="AP2" s="364"/>
      <c r="AQ2" s="71" t="s">
        <v>107</v>
      </c>
      <c r="AR2" s="71" t="s">
        <v>108</v>
      </c>
      <c r="AS2" s="72" t="s">
        <v>109</v>
      </c>
      <c r="AT2" s="73" t="s">
        <v>110</v>
      </c>
      <c r="AU2" s="67" t="s">
        <v>111</v>
      </c>
      <c r="AV2" s="74" t="s">
        <v>112</v>
      </c>
      <c r="AW2" s="69" t="s">
        <v>113</v>
      </c>
      <c r="AX2" s="69" t="s">
        <v>114</v>
      </c>
      <c r="AY2" s="367" t="s">
        <v>115</v>
      </c>
      <c r="AZ2" s="368"/>
      <c r="BA2" s="368"/>
      <c r="BB2" s="368"/>
      <c r="BC2" s="369"/>
      <c r="BD2" s="367" t="s">
        <v>116</v>
      </c>
      <c r="BE2" s="368"/>
      <c r="BF2" s="368"/>
      <c r="BG2" s="368"/>
      <c r="BH2" s="369"/>
      <c r="BI2" s="362" t="s">
        <v>117</v>
      </c>
      <c r="BJ2" s="363"/>
      <c r="BK2" s="363"/>
      <c r="BL2" s="363"/>
      <c r="BM2" s="363"/>
      <c r="BN2" s="364"/>
      <c r="BO2" s="370" t="s">
        <v>118</v>
      </c>
      <c r="BP2" s="363"/>
      <c r="BQ2" s="363"/>
      <c r="BR2" s="363"/>
      <c r="BS2" s="364"/>
      <c r="BT2" s="362" t="s">
        <v>119</v>
      </c>
      <c r="BU2" s="363"/>
      <c r="BV2" s="364"/>
      <c r="BW2" s="362" t="s">
        <v>120</v>
      </c>
      <c r="BX2" s="363"/>
      <c r="BY2" s="363"/>
      <c r="BZ2" s="363"/>
      <c r="CA2" s="363"/>
      <c r="CB2" s="363"/>
      <c r="CC2" s="364"/>
    </row>
    <row r="3" spans="1:81" ht="15.75" customHeight="1">
      <c r="A3" s="75"/>
      <c r="B3" s="76"/>
      <c r="C3" s="76"/>
      <c r="D3" s="76"/>
      <c r="E3" s="76"/>
      <c r="F3" s="77">
        <f>SUM(F5:F642)</f>
        <v>60800000</v>
      </c>
      <c r="G3" s="77">
        <f>SUM(G5:G642)</f>
        <v>52900000</v>
      </c>
      <c r="H3" s="77">
        <f>SUM(H5:H642)</f>
        <v>43796774.193548389</v>
      </c>
      <c r="I3" s="77">
        <f>SUBTOTAL(109,I5:I642)</f>
        <v>52900000</v>
      </c>
      <c r="J3" s="76"/>
      <c r="K3" s="76"/>
      <c r="L3" s="78">
        <f t="shared" ref="L3:AP3" si="0">SUM(L5:L642)</f>
        <v>0</v>
      </c>
      <c r="M3" s="77">
        <f t="shared" si="0"/>
        <v>0</v>
      </c>
      <c r="N3" s="76">
        <f t="shared" si="0"/>
        <v>23</v>
      </c>
      <c r="O3" s="77">
        <f t="shared" si="0"/>
        <v>5</v>
      </c>
      <c r="P3" s="77">
        <f t="shared" si="0"/>
        <v>5</v>
      </c>
      <c r="Q3" s="77">
        <f t="shared" si="0"/>
        <v>0</v>
      </c>
      <c r="R3" s="77">
        <f t="shared" si="0"/>
        <v>531900</v>
      </c>
      <c r="S3" s="77">
        <f t="shared" si="0"/>
        <v>0</v>
      </c>
      <c r="T3" s="76">
        <f t="shared" si="0"/>
        <v>0</v>
      </c>
      <c r="U3" s="76">
        <f t="shared" si="0"/>
        <v>0</v>
      </c>
      <c r="V3" s="76">
        <f t="shared" si="0"/>
        <v>23</v>
      </c>
      <c r="W3" s="77">
        <f t="shared" si="0"/>
        <v>5645000</v>
      </c>
      <c r="X3" s="77">
        <f t="shared" si="0"/>
        <v>2760000</v>
      </c>
      <c r="Y3" s="76">
        <f t="shared" si="0"/>
        <v>0</v>
      </c>
      <c r="Z3" s="77">
        <f t="shared" si="0"/>
        <v>3680000</v>
      </c>
      <c r="AA3" s="77">
        <f t="shared" si="0"/>
        <v>0</v>
      </c>
      <c r="AB3" s="76">
        <f t="shared" si="0"/>
        <v>12</v>
      </c>
      <c r="AC3" s="77">
        <f t="shared" si="0"/>
        <v>13700000</v>
      </c>
      <c r="AD3" s="77">
        <f t="shared" si="0"/>
        <v>1200000</v>
      </c>
      <c r="AE3" s="76">
        <f t="shared" si="0"/>
        <v>23</v>
      </c>
      <c r="AF3" s="77">
        <f t="shared" si="0"/>
        <v>3600000</v>
      </c>
      <c r="AG3" s="77">
        <f t="shared" si="0"/>
        <v>1380000</v>
      </c>
      <c r="AH3" s="76">
        <f t="shared" si="0"/>
        <v>2</v>
      </c>
      <c r="AI3" s="77">
        <f t="shared" si="0"/>
        <v>550000</v>
      </c>
      <c r="AJ3" s="77">
        <f t="shared" si="0"/>
        <v>550000</v>
      </c>
      <c r="AK3" s="76">
        <f t="shared" si="0"/>
        <v>0</v>
      </c>
      <c r="AL3" s="77">
        <f t="shared" si="0"/>
        <v>1140000</v>
      </c>
      <c r="AM3" s="77">
        <f t="shared" si="0"/>
        <v>0</v>
      </c>
      <c r="AN3" s="76">
        <f t="shared" si="0"/>
        <v>23</v>
      </c>
      <c r="AO3" s="77">
        <f t="shared" si="0"/>
        <v>1680000</v>
      </c>
      <c r="AP3" s="77">
        <f t="shared" si="0"/>
        <v>2760000</v>
      </c>
      <c r="AQ3" s="77"/>
      <c r="AR3" s="77"/>
      <c r="AS3" s="76"/>
      <c r="AT3" s="76"/>
      <c r="AU3" s="76"/>
      <c r="AV3" s="76"/>
      <c r="AW3" s="79"/>
      <c r="AX3" s="79"/>
      <c r="AY3" s="76">
        <f>SUM(AY5:AY641)</f>
        <v>215</v>
      </c>
      <c r="AZ3" s="76">
        <f>SUM(AZ5:AZ641)</f>
        <v>239</v>
      </c>
      <c r="BA3" s="76">
        <f>SUM(BA5:BA641)</f>
        <v>24</v>
      </c>
      <c r="BB3" s="76"/>
      <c r="BC3" s="76">
        <f>SUM(BC5:BC641)</f>
        <v>151200</v>
      </c>
      <c r="BD3" s="76">
        <f>SUM(BD5:BD641)</f>
        <v>65594</v>
      </c>
      <c r="BE3" s="76">
        <f>SUM(BE5:BE641)</f>
        <v>66713</v>
      </c>
      <c r="BF3" s="76">
        <f>SUM(BF5:BF641)</f>
        <v>1119</v>
      </c>
      <c r="BG3" s="76"/>
      <c r="BH3" s="77">
        <f t="shared" ref="BH3:BN3" si="1">SUM(BH5:BH641)</f>
        <v>3965400</v>
      </c>
      <c r="BI3" s="77">
        <f t="shared" si="1"/>
        <v>1856</v>
      </c>
      <c r="BJ3" s="77">
        <f t="shared" si="1"/>
        <v>883</v>
      </c>
      <c r="BK3" s="77">
        <f t="shared" si="1"/>
        <v>-973</v>
      </c>
      <c r="BL3" s="77">
        <f t="shared" si="1"/>
        <v>120000</v>
      </c>
      <c r="BM3" s="77">
        <f t="shared" si="1"/>
        <v>-29400000</v>
      </c>
      <c r="BN3" s="77">
        <f t="shared" si="1"/>
        <v>210000</v>
      </c>
      <c r="BO3" s="80"/>
      <c r="BP3" s="81"/>
      <c r="BQ3" s="82"/>
      <c r="BR3" s="76"/>
      <c r="BS3" s="76"/>
      <c r="BT3" s="76"/>
      <c r="BU3" s="76"/>
      <c r="BV3" s="76"/>
      <c r="BW3" s="76"/>
      <c r="BX3" s="76"/>
      <c r="BY3" s="76"/>
      <c r="BZ3" s="76"/>
      <c r="CA3" s="76"/>
      <c r="CB3" s="76"/>
      <c r="CC3" s="76"/>
    </row>
    <row r="4" spans="1:81" ht="45" customHeight="1">
      <c r="A4" s="83"/>
      <c r="B4" s="84"/>
      <c r="C4" s="84">
        <f>COUNT(C5:C642)</f>
        <v>15</v>
      </c>
      <c r="D4" s="84"/>
      <c r="E4" s="84"/>
      <c r="F4" s="85"/>
      <c r="G4" s="85"/>
      <c r="H4" s="85"/>
      <c r="I4" s="85"/>
      <c r="J4" s="84"/>
      <c r="K4" s="84"/>
      <c r="L4" s="86"/>
      <c r="M4" s="85"/>
      <c r="N4" s="84"/>
      <c r="O4" s="84" t="s">
        <v>121</v>
      </c>
      <c r="P4" s="84" t="s">
        <v>122</v>
      </c>
      <c r="Q4" s="84" t="s">
        <v>123</v>
      </c>
      <c r="R4" s="84" t="s">
        <v>124</v>
      </c>
      <c r="S4" s="85" t="s">
        <v>125</v>
      </c>
      <c r="T4" s="84" t="s">
        <v>121</v>
      </c>
      <c r="U4" s="84" t="s">
        <v>126</v>
      </c>
      <c r="V4" s="84" t="s">
        <v>123</v>
      </c>
      <c r="W4" s="84" t="s">
        <v>124</v>
      </c>
      <c r="X4" s="84" t="s">
        <v>125</v>
      </c>
      <c r="Y4" s="87" t="s">
        <v>123</v>
      </c>
      <c r="Z4" s="84" t="s">
        <v>124</v>
      </c>
      <c r="AA4" s="84" t="s">
        <v>125</v>
      </c>
      <c r="AB4" s="87" t="s">
        <v>123</v>
      </c>
      <c r="AC4" s="84" t="s">
        <v>124</v>
      </c>
      <c r="AD4" s="84" t="s">
        <v>125</v>
      </c>
      <c r="AE4" s="84" t="s">
        <v>123</v>
      </c>
      <c r="AF4" s="84" t="s">
        <v>124</v>
      </c>
      <c r="AG4" s="84" t="s">
        <v>125</v>
      </c>
      <c r="AH4" s="84" t="s">
        <v>123</v>
      </c>
      <c r="AI4" s="84" t="s">
        <v>124</v>
      </c>
      <c r="AJ4" s="84" t="s">
        <v>125</v>
      </c>
      <c r="AK4" s="84" t="s">
        <v>123</v>
      </c>
      <c r="AL4" s="84" t="s">
        <v>124</v>
      </c>
      <c r="AM4" s="88" t="s">
        <v>125</v>
      </c>
      <c r="AN4" s="89" t="s">
        <v>123</v>
      </c>
      <c r="AO4" s="89" t="s">
        <v>124</v>
      </c>
      <c r="AP4" s="90" t="s">
        <v>125</v>
      </c>
      <c r="AQ4" s="91">
        <f>SUM(AQ5:AQ641)</f>
        <v>7417741.9354838701</v>
      </c>
      <c r="AR4" s="92">
        <f>SUBTOTAL(109,AR5:AR641)</f>
        <v>104114516.12903227</v>
      </c>
      <c r="AS4" s="92">
        <f>SUBTOTAL(109,AS5:AS641)</f>
        <v>0</v>
      </c>
      <c r="AT4" s="92">
        <f>SUBTOTAL(109,AT5:AT641)</f>
        <v>104919000</v>
      </c>
      <c r="AU4" s="93"/>
      <c r="AV4" s="93">
        <f t="shared" ref="AV4:AV126" si="2">AT4-AR4</f>
        <v>804483.87096773088</v>
      </c>
      <c r="AW4" s="94">
        <f>SUM(AW5:AW116)</f>
        <v>0</v>
      </c>
      <c r="AX4" s="94">
        <f>SUM(AX5:AX116)</f>
        <v>0</v>
      </c>
      <c r="AY4" s="95" t="s">
        <v>127</v>
      </c>
      <c r="AZ4" s="95" t="s">
        <v>128</v>
      </c>
      <c r="BA4" s="95" t="s">
        <v>129</v>
      </c>
      <c r="BB4" s="95" t="s">
        <v>130</v>
      </c>
      <c r="BC4" s="95" t="s">
        <v>131</v>
      </c>
      <c r="BD4" s="96" t="s">
        <v>127</v>
      </c>
      <c r="BE4" s="96" t="s">
        <v>132</v>
      </c>
      <c r="BF4" s="95" t="s">
        <v>129</v>
      </c>
      <c r="BG4" s="95" t="s">
        <v>130</v>
      </c>
      <c r="BH4" s="95" t="s">
        <v>131</v>
      </c>
      <c r="BI4" s="97" t="s">
        <v>127</v>
      </c>
      <c r="BJ4" s="97" t="s">
        <v>128</v>
      </c>
      <c r="BK4" s="97" t="s">
        <v>123</v>
      </c>
      <c r="BL4" s="98" t="s">
        <v>130</v>
      </c>
      <c r="BM4" s="97"/>
      <c r="BN4" s="98" t="s">
        <v>131</v>
      </c>
      <c r="BO4" s="99" t="s">
        <v>133</v>
      </c>
      <c r="BP4" s="97" t="s">
        <v>134</v>
      </c>
      <c r="BQ4" s="100" t="s">
        <v>135</v>
      </c>
      <c r="BR4" s="84" t="s">
        <v>134</v>
      </c>
      <c r="BS4" s="84" t="s">
        <v>136</v>
      </c>
      <c r="BT4" s="84" t="s">
        <v>137</v>
      </c>
      <c r="BU4" s="84" t="s">
        <v>138</v>
      </c>
      <c r="BV4" s="84" t="s">
        <v>139</v>
      </c>
      <c r="BW4" s="84" t="s">
        <v>140</v>
      </c>
      <c r="BX4" s="84" t="s">
        <v>141</v>
      </c>
      <c r="BY4" s="84" t="s">
        <v>123</v>
      </c>
      <c r="BZ4" s="84" t="s">
        <v>124</v>
      </c>
      <c r="CA4" s="84" t="s">
        <v>125</v>
      </c>
      <c r="CB4" s="84" t="s">
        <v>142</v>
      </c>
      <c r="CC4" s="84" t="s">
        <v>143</v>
      </c>
    </row>
    <row r="5" spans="1:81" ht="19.5" customHeight="1">
      <c r="A5" s="101" t="s">
        <v>37</v>
      </c>
      <c r="B5" s="101" t="s">
        <v>144</v>
      </c>
      <c r="C5" s="102">
        <v>101</v>
      </c>
      <c r="D5" s="102" t="s">
        <v>145</v>
      </c>
      <c r="E5" s="102">
        <v>1</v>
      </c>
      <c r="F5" s="103">
        <v>3600000</v>
      </c>
      <c r="G5" s="104">
        <v>3600000</v>
      </c>
      <c r="H5" s="104">
        <v>3600000</v>
      </c>
      <c r="I5" s="104">
        <v>3600000</v>
      </c>
      <c r="J5" s="102">
        <v>30</v>
      </c>
      <c r="K5" s="102">
        <v>30</v>
      </c>
      <c r="L5" s="105"/>
      <c r="M5" s="106"/>
      <c r="N5" s="107">
        <v>1</v>
      </c>
      <c r="O5" s="102">
        <v>5</v>
      </c>
      <c r="P5" s="102">
        <v>5</v>
      </c>
      <c r="Q5" s="102">
        <f t="shared" ref="Q5:Q19" si="3">P5-O5</f>
        <v>0</v>
      </c>
      <c r="R5" s="102">
        <v>4000</v>
      </c>
      <c r="S5" s="106">
        <f t="shared" ref="S5:S12" si="4">Q5*R5</f>
        <v>0</v>
      </c>
      <c r="T5" s="102"/>
      <c r="U5" s="102"/>
      <c r="V5" s="107">
        <v>1</v>
      </c>
      <c r="W5" s="102">
        <v>120000</v>
      </c>
      <c r="X5" s="102">
        <f t="shared" ref="X5:X126" si="5">V5*W5</f>
        <v>120000</v>
      </c>
      <c r="Y5" s="107"/>
      <c r="Z5" s="102"/>
      <c r="AA5" s="102"/>
      <c r="AB5" s="101">
        <v>1</v>
      </c>
      <c r="AC5" s="102">
        <v>100000</v>
      </c>
      <c r="AD5" s="102">
        <f t="shared" ref="AD5:AD22" si="6">AB5*AC5</f>
        <v>100000</v>
      </c>
      <c r="AE5" s="102">
        <v>1</v>
      </c>
      <c r="AF5" s="102">
        <v>60000</v>
      </c>
      <c r="AG5" s="102">
        <f t="shared" ref="AG5:AG27" si="7">AE5*AF5</f>
        <v>60000</v>
      </c>
      <c r="AH5" s="102"/>
      <c r="AI5" s="102"/>
      <c r="AJ5" s="102"/>
      <c r="AK5" s="107"/>
      <c r="AL5" s="102"/>
      <c r="AM5" s="108"/>
      <c r="AN5" s="102">
        <v>1</v>
      </c>
      <c r="AO5" s="102">
        <v>120000</v>
      </c>
      <c r="AP5" s="102">
        <f t="shared" ref="AP5:AP25" si="8">AN5*AO5</f>
        <v>120000</v>
      </c>
      <c r="AQ5" s="109">
        <f>(SUM(S5,X5,AA5,AD5,AG5,AJ5,AM5,AP5))</f>
        <v>400000</v>
      </c>
      <c r="AR5" s="110">
        <f t="shared" ref="AR5:AR146" si="9">AQ5+H5*E5+I5+L5+M5</f>
        <v>7600000</v>
      </c>
      <c r="AS5" s="111" t="s">
        <v>146</v>
      </c>
      <c r="AT5" s="112">
        <f>3600000+1000000+3000000</f>
        <v>7600000</v>
      </c>
      <c r="AU5" s="113" t="str">
        <f t="shared" ref="AU5:AU126" si="10">IF(AND(AR5&gt;0,AT5=0),"Chưa TT",IF(AT5-AR5&gt;0,"Thừa",IF(AND(AR5=0,AT5=0),"Trống",IF(AND(AT5&gt;0,AR5=0),"Đóng cọc",IF(AT5-AR5&lt;0,"Thiếu",IF(AT5-AR5=0,"Đủ",0))))))</f>
        <v>Đủ</v>
      </c>
      <c r="AV5" s="114">
        <f t="shared" si="2"/>
        <v>0</v>
      </c>
      <c r="AW5" s="115"/>
      <c r="AX5" s="116"/>
      <c r="AY5" s="111"/>
      <c r="AZ5" s="111"/>
      <c r="BA5" s="111"/>
      <c r="BB5" s="111"/>
      <c r="BC5" s="111"/>
      <c r="BD5" s="111"/>
      <c r="BE5" s="111"/>
      <c r="BF5" s="111"/>
      <c r="BG5" s="111"/>
      <c r="BH5" s="116"/>
      <c r="BI5" s="111"/>
      <c r="BJ5" s="111"/>
      <c r="BK5" s="111"/>
      <c r="BL5" s="111"/>
      <c r="BM5" s="111"/>
      <c r="BN5" s="111"/>
      <c r="BO5" s="117"/>
      <c r="BP5" s="111"/>
      <c r="BQ5" s="117"/>
      <c r="BR5" s="111"/>
      <c r="BS5" s="111"/>
      <c r="BT5" s="111"/>
      <c r="BU5" s="111"/>
      <c r="BV5" s="111"/>
      <c r="BW5" s="111"/>
      <c r="BX5" s="111"/>
      <c r="BY5" s="111"/>
      <c r="BZ5" s="111"/>
      <c r="CA5" s="111"/>
      <c r="CB5" s="111"/>
      <c r="CC5" s="111"/>
    </row>
    <row r="6" spans="1:81" ht="17.25" customHeight="1">
      <c r="A6" s="101" t="s">
        <v>38</v>
      </c>
      <c r="B6" s="101" t="s">
        <v>144</v>
      </c>
      <c r="C6" s="102">
        <v>201</v>
      </c>
      <c r="D6" s="102" t="s">
        <v>145</v>
      </c>
      <c r="E6" s="102">
        <v>1</v>
      </c>
      <c r="F6" s="103">
        <v>4200000</v>
      </c>
      <c r="G6" s="106"/>
      <c r="H6" s="106"/>
      <c r="I6" s="106"/>
      <c r="J6" s="102">
        <v>30</v>
      </c>
      <c r="K6" s="102">
        <v>30</v>
      </c>
      <c r="L6" s="105"/>
      <c r="M6" s="106"/>
      <c r="N6" s="101"/>
      <c r="O6" s="102"/>
      <c r="P6" s="102"/>
      <c r="Q6" s="102">
        <f t="shared" si="3"/>
        <v>0</v>
      </c>
      <c r="R6" s="102">
        <v>4000</v>
      </c>
      <c r="S6" s="106">
        <f t="shared" si="4"/>
        <v>0</v>
      </c>
      <c r="T6" s="102"/>
      <c r="U6" s="102"/>
      <c r="V6" s="107"/>
      <c r="W6" s="102">
        <v>35000</v>
      </c>
      <c r="X6" s="102">
        <f t="shared" si="5"/>
        <v>0</v>
      </c>
      <c r="Y6" s="101"/>
      <c r="Z6" s="102"/>
      <c r="AA6" s="102"/>
      <c r="AB6" s="102"/>
      <c r="AC6" s="102">
        <v>100000</v>
      </c>
      <c r="AD6" s="102">
        <f t="shared" si="6"/>
        <v>0</v>
      </c>
      <c r="AE6" s="102"/>
      <c r="AF6" s="102">
        <v>50000</v>
      </c>
      <c r="AG6" s="102">
        <f t="shared" si="7"/>
        <v>0</v>
      </c>
      <c r="AH6" s="102"/>
      <c r="AI6" s="102"/>
      <c r="AJ6" s="102"/>
      <c r="AK6" s="101"/>
      <c r="AL6" s="102"/>
      <c r="AM6" s="108"/>
      <c r="AN6" s="102"/>
      <c r="AO6" s="102"/>
      <c r="AP6" s="106">
        <f t="shared" si="8"/>
        <v>0</v>
      </c>
      <c r="AQ6" s="109">
        <f>(SUM(S6,X6,AA6,AD6,AG6,AJ6,AM6,AP6)/30)*21</f>
        <v>0</v>
      </c>
      <c r="AR6" s="110">
        <f t="shared" si="9"/>
        <v>0</v>
      </c>
      <c r="AS6" s="111" t="s">
        <v>147</v>
      </c>
      <c r="AT6" s="118"/>
      <c r="AU6" s="113" t="str">
        <f t="shared" si="10"/>
        <v>Trống</v>
      </c>
      <c r="AV6" s="114">
        <f t="shared" si="2"/>
        <v>0</v>
      </c>
      <c r="AW6" s="115"/>
      <c r="AX6" s="116"/>
      <c r="AY6" s="111"/>
      <c r="AZ6" s="111"/>
      <c r="BA6" s="111"/>
      <c r="BB6" s="111"/>
      <c r="BC6" s="111"/>
      <c r="BD6" s="111"/>
      <c r="BE6" s="111"/>
      <c r="BF6" s="111"/>
      <c r="BG6" s="111"/>
      <c r="BH6" s="116"/>
      <c r="BI6" s="111"/>
      <c r="BJ6" s="111"/>
      <c r="BK6" s="111"/>
      <c r="BL6" s="111"/>
      <c r="BM6" s="111"/>
      <c r="BN6" s="111"/>
      <c r="BO6" s="117"/>
      <c r="BP6" s="111"/>
      <c r="BQ6" s="117"/>
      <c r="BR6" s="111"/>
      <c r="BS6" s="111"/>
      <c r="BT6" s="111"/>
      <c r="BU6" s="111"/>
      <c r="BV6" s="111"/>
      <c r="BW6" s="111">
        <v>1935</v>
      </c>
      <c r="BX6" s="111">
        <v>1967</v>
      </c>
      <c r="BY6" s="111">
        <f>BX6-BW6</f>
        <v>32</v>
      </c>
      <c r="BZ6" s="111">
        <v>3800</v>
      </c>
      <c r="CA6" s="111">
        <f>BY6*BZ6</f>
        <v>121600</v>
      </c>
      <c r="CB6" s="111"/>
      <c r="CC6" s="111">
        <f>CA6/3</f>
        <v>40533.333333333336</v>
      </c>
    </row>
    <row r="7" spans="1:81" ht="17.25" customHeight="1">
      <c r="A7" s="101" t="s">
        <v>39</v>
      </c>
      <c r="B7" s="101" t="s">
        <v>144</v>
      </c>
      <c r="C7" s="102">
        <v>202</v>
      </c>
      <c r="D7" s="102" t="s">
        <v>145</v>
      </c>
      <c r="E7" s="102">
        <v>1</v>
      </c>
      <c r="F7" s="103">
        <v>4000000</v>
      </c>
      <c r="G7" s="106">
        <v>3800000</v>
      </c>
      <c r="H7" s="106">
        <v>3800000</v>
      </c>
      <c r="I7" s="106">
        <v>3800000</v>
      </c>
      <c r="J7" s="102">
        <v>30</v>
      </c>
      <c r="K7" s="102">
        <v>30</v>
      </c>
      <c r="L7" s="105"/>
      <c r="M7" s="106"/>
      <c r="N7" s="101">
        <v>1</v>
      </c>
      <c r="O7" s="102"/>
      <c r="P7" s="102"/>
      <c r="Q7" s="102">
        <f t="shared" si="3"/>
        <v>0</v>
      </c>
      <c r="R7" s="102">
        <v>4000</v>
      </c>
      <c r="S7" s="106">
        <f t="shared" si="4"/>
        <v>0</v>
      </c>
      <c r="T7" s="102"/>
      <c r="U7" s="102"/>
      <c r="V7" s="107">
        <v>1</v>
      </c>
      <c r="W7" s="102">
        <v>120000</v>
      </c>
      <c r="X7" s="102">
        <f t="shared" si="5"/>
        <v>120000</v>
      </c>
      <c r="Y7" s="101"/>
      <c r="Z7" s="102"/>
      <c r="AA7" s="102"/>
      <c r="AB7" s="102">
        <v>1</v>
      </c>
      <c r="AC7" s="102">
        <v>100000</v>
      </c>
      <c r="AD7" s="102">
        <f t="shared" si="6"/>
        <v>100000</v>
      </c>
      <c r="AE7" s="102">
        <v>1</v>
      </c>
      <c r="AF7" s="102">
        <v>60000</v>
      </c>
      <c r="AG7" s="102">
        <f t="shared" si="7"/>
        <v>60000</v>
      </c>
      <c r="AH7" s="102"/>
      <c r="AI7" s="102"/>
      <c r="AJ7" s="102"/>
      <c r="AK7" s="101"/>
      <c r="AL7" s="102"/>
      <c r="AM7" s="108">
        <f>AK7*AL7</f>
        <v>0</v>
      </c>
      <c r="AN7" s="102">
        <v>1</v>
      </c>
      <c r="AO7" s="102">
        <v>120000</v>
      </c>
      <c r="AP7" s="106">
        <f t="shared" si="8"/>
        <v>120000</v>
      </c>
      <c r="AQ7" s="109">
        <f>SUM(S7,X7,AA7,AD7,AG7,AJ7,AM7,AP7)</f>
        <v>400000</v>
      </c>
      <c r="AR7" s="110">
        <f t="shared" si="9"/>
        <v>8000000</v>
      </c>
      <c r="AS7" s="111" t="s">
        <v>148</v>
      </c>
      <c r="AT7" s="112">
        <f>4200000+3800000</f>
        <v>8000000</v>
      </c>
      <c r="AU7" s="113" t="str">
        <f t="shared" si="10"/>
        <v>Đủ</v>
      </c>
      <c r="AV7" s="114">
        <f t="shared" si="2"/>
        <v>0</v>
      </c>
      <c r="AW7" s="115"/>
      <c r="AX7" s="116"/>
      <c r="AY7" s="111"/>
      <c r="AZ7" s="111"/>
      <c r="BA7" s="111"/>
      <c r="BB7" s="111"/>
      <c r="BC7" s="111"/>
      <c r="BD7" s="111"/>
      <c r="BE7" s="111"/>
      <c r="BF7" s="111"/>
      <c r="BG7" s="111"/>
      <c r="BH7" s="116"/>
      <c r="BI7" s="111"/>
      <c r="BJ7" s="111"/>
      <c r="BK7" s="111"/>
      <c r="BL7" s="111"/>
      <c r="BM7" s="111"/>
      <c r="BN7" s="111"/>
      <c r="BO7" s="117"/>
      <c r="BP7" s="111"/>
      <c r="BQ7" s="117"/>
      <c r="BR7" s="111"/>
      <c r="BS7" s="111"/>
      <c r="BT7" s="111"/>
      <c r="BU7" s="111"/>
      <c r="BV7" s="111"/>
      <c r="BW7" s="111">
        <v>1935</v>
      </c>
      <c r="BX7" s="111">
        <v>1967</v>
      </c>
      <c r="BY7" s="111">
        <f>BX7-BW7</f>
        <v>32</v>
      </c>
      <c r="BZ7" s="111">
        <v>3800</v>
      </c>
      <c r="CA7" s="111">
        <f>BY7*BZ7</f>
        <v>121600</v>
      </c>
      <c r="CB7" s="111"/>
      <c r="CC7" s="111">
        <f>CA7/3</f>
        <v>40533.333333333336</v>
      </c>
    </row>
    <row r="8" spans="1:81" ht="18" customHeight="1">
      <c r="A8" s="101" t="s">
        <v>40</v>
      </c>
      <c r="B8" s="101" t="s">
        <v>144</v>
      </c>
      <c r="C8" s="102">
        <v>203</v>
      </c>
      <c r="D8" s="102" t="s">
        <v>145</v>
      </c>
      <c r="E8" s="102">
        <v>1</v>
      </c>
      <c r="F8" s="103">
        <v>4300000</v>
      </c>
      <c r="G8" s="106">
        <v>3800000</v>
      </c>
      <c r="H8" s="106">
        <f>(3800000/31)*13</f>
        <v>1593548.3870967741</v>
      </c>
      <c r="I8" s="106">
        <v>3800000</v>
      </c>
      <c r="J8" s="102">
        <v>30</v>
      </c>
      <c r="K8" s="102">
        <v>30</v>
      </c>
      <c r="L8" s="105"/>
      <c r="M8" s="106"/>
      <c r="N8" s="101">
        <v>1</v>
      </c>
      <c r="O8" s="102"/>
      <c r="P8" s="102"/>
      <c r="Q8" s="102">
        <f t="shared" si="3"/>
        <v>0</v>
      </c>
      <c r="R8" s="102">
        <v>4000</v>
      </c>
      <c r="S8" s="106">
        <f t="shared" si="4"/>
        <v>0</v>
      </c>
      <c r="T8" s="102"/>
      <c r="U8" s="102"/>
      <c r="V8" s="107">
        <v>1</v>
      </c>
      <c r="W8" s="102">
        <v>120000</v>
      </c>
      <c r="X8" s="102">
        <f t="shared" si="5"/>
        <v>120000</v>
      </c>
      <c r="Y8" s="101"/>
      <c r="Z8" s="102"/>
      <c r="AA8" s="102"/>
      <c r="AB8" s="102"/>
      <c r="AC8" s="102">
        <v>100000</v>
      </c>
      <c r="AD8" s="102">
        <f t="shared" si="6"/>
        <v>0</v>
      </c>
      <c r="AE8" s="102">
        <v>1</v>
      </c>
      <c r="AF8" s="102">
        <v>60000</v>
      </c>
      <c r="AG8" s="102">
        <f t="shared" si="7"/>
        <v>60000</v>
      </c>
      <c r="AH8" s="102"/>
      <c r="AI8" s="102"/>
      <c r="AJ8" s="102"/>
      <c r="AK8" s="101"/>
      <c r="AL8" s="102"/>
      <c r="AM8" s="108"/>
      <c r="AN8" s="102">
        <v>1</v>
      </c>
      <c r="AO8" s="102">
        <v>120000</v>
      </c>
      <c r="AP8" s="106">
        <f t="shared" si="8"/>
        <v>120000</v>
      </c>
      <c r="AQ8" s="109">
        <f>(SUM(S8,X8,AA8,AD8,AG8,AJ8,AM8,AP8)/31)*13</f>
        <v>125806.45161290323</v>
      </c>
      <c r="AR8" s="110">
        <f t="shared" si="9"/>
        <v>5519354.8387096776</v>
      </c>
      <c r="AS8" s="111" t="s">
        <v>149</v>
      </c>
      <c r="AT8" s="112">
        <f>3800000+1694000</f>
        <v>5494000</v>
      </c>
      <c r="AU8" s="113" t="str">
        <f t="shared" si="10"/>
        <v>Thiếu</v>
      </c>
      <c r="AV8" s="114">
        <f t="shared" si="2"/>
        <v>-25354.83870967757</v>
      </c>
      <c r="AW8" s="115"/>
      <c r="AX8" s="116"/>
      <c r="AY8" s="111"/>
      <c r="AZ8" s="111"/>
      <c r="BA8" s="111"/>
      <c r="BB8" s="111"/>
      <c r="BC8" s="111"/>
      <c r="BD8" s="111"/>
      <c r="BE8" s="111"/>
      <c r="BF8" s="111"/>
      <c r="BG8" s="111"/>
      <c r="BH8" s="116"/>
      <c r="BI8" s="111"/>
      <c r="BJ8" s="111"/>
      <c r="BK8" s="111"/>
      <c r="BL8" s="111"/>
      <c r="BM8" s="111"/>
      <c r="BN8" s="111"/>
      <c r="BO8" s="117"/>
      <c r="BP8" s="111"/>
      <c r="BQ8" s="117"/>
      <c r="BR8" s="111"/>
      <c r="BS8" s="111"/>
      <c r="BT8" s="111"/>
      <c r="BU8" s="111"/>
      <c r="BV8" s="111"/>
      <c r="BW8" s="111">
        <v>144</v>
      </c>
      <c r="BX8" s="111">
        <v>209</v>
      </c>
      <c r="BY8" s="111">
        <f>BX8-BW8</f>
        <v>65</v>
      </c>
      <c r="BZ8" s="111">
        <v>3800</v>
      </c>
      <c r="CA8" s="111">
        <f>BY8*BZ8</f>
        <v>247000</v>
      </c>
      <c r="CB8" s="111"/>
      <c r="CC8" s="111">
        <f>CA8/3</f>
        <v>82333.333333333328</v>
      </c>
    </row>
    <row r="9" spans="1:81" ht="17.25" customHeight="1">
      <c r="A9" s="101" t="s">
        <v>41</v>
      </c>
      <c r="B9" s="101" t="s">
        <v>144</v>
      </c>
      <c r="C9" s="102">
        <v>301</v>
      </c>
      <c r="D9" s="102" t="s">
        <v>145</v>
      </c>
      <c r="E9" s="102">
        <v>1</v>
      </c>
      <c r="F9" s="103">
        <v>4200000</v>
      </c>
      <c r="G9" s="106">
        <v>3900000</v>
      </c>
      <c r="H9" s="106">
        <f>(3900000/31)*15</f>
        <v>1887096.7741935484</v>
      </c>
      <c r="I9" s="106">
        <v>3900000</v>
      </c>
      <c r="J9" s="102">
        <v>30</v>
      </c>
      <c r="K9" s="102">
        <v>30</v>
      </c>
      <c r="L9" s="105"/>
      <c r="M9" s="106"/>
      <c r="N9" s="101">
        <v>1</v>
      </c>
      <c r="O9" s="102"/>
      <c r="P9" s="102"/>
      <c r="Q9" s="102">
        <f t="shared" si="3"/>
        <v>0</v>
      </c>
      <c r="R9" s="102">
        <v>4000</v>
      </c>
      <c r="S9" s="106">
        <f t="shared" si="4"/>
        <v>0</v>
      </c>
      <c r="T9" s="102"/>
      <c r="U9" s="102"/>
      <c r="V9" s="107">
        <v>1</v>
      </c>
      <c r="W9" s="102">
        <v>120000</v>
      </c>
      <c r="X9" s="102">
        <f t="shared" si="5"/>
        <v>120000</v>
      </c>
      <c r="Y9" s="101"/>
      <c r="Z9" s="102"/>
      <c r="AA9" s="102"/>
      <c r="AB9" s="102">
        <v>1</v>
      </c>
      <c r="AC9" s="102">
        <v>100000</v>
      </c>
      <c r="AD9" s="102">
        <f t="shared" si="6"/>
        <v>100000</v>
      </c>
      <c r="AE9" s="102">
        <v>1</v>
      </c>
      <c r="AF9" s="102">
        <v>60000</v>
      </c>
      <c r="AG9" s="102">
        <f t="shared" si="7"/>
        <v>60000</v>
      </c>
      <c r="AH9" s="102">
        <v>1</v>
      </c>
      <c r="AI9" s="102">
        <v>150000</v>
      </c>
      <c r="AJ9" s="102">
        <f>AH9*AI9</f>
        <v>150000</v>
      </c>
      <c r="AK9" s="101"/>
      <c r="AL9" s="102"/>
      <c r="AM9" s="108"/>
      <c r="AN9" s="102">
        <v>1</v>
      </c>
      <c r="AO9" s="102">
        <v>120000</v>
      </c>
      <c r="AP9" s="106">
        <f t="shared" si="8"/>
        <v>120000</v>
      </c>
      <c r="AQ9" s="109">
        <f>(SUM(S9,X9,AA9,AD9,AG9,AJ9,AM9,AP9)/31)*15</f>
        <v>266129.03225806449</v>
      </c>
      <c r="AR9" s="110">
        <f t="shared" si="9"/>
        <v>6053225.8064516131</v>
      </c>
      <c r="AS9" s="111" t="s">
        <v>150</v>
      </c>
      <c r="AT9" s="112">
        <v>6053000</v>
      </c>
      <c r="AU9" s="113" t="str">
        <f t="shared" si="10"/>
        <v>Thiếu</v>
      </c>
      <c r="AV9" s="114">
        <f t="shared" si="2"/>
        <v>-225.80645161308348</v>
      </c>
      <c r="AW9" s="115"/>
      <c r="AX9" s="116"/>
      <c r="AY9" s="111"/>
      <c r="AZ9" s="111"/>
      <c r="BA9" s="111"/>
      <c r="BB9" s="111"/>
      <c r="BC9" s="111"/>
      <c r="BD9" s="111"/>
      <c r="BE9" s="111"/>
      <c r="BF9" s="111"/>
      <c r="BG9" s="111"/>
      <c r="BH9" s="116"/>
      <c r="BI9" s="111"/>
      <c r="BJ9" s="111"/>
      <c r="BK9" s="111"/>
      <c r="BL9" s="111"/>
      <c r="BM9" s="111"/>
      <c r="BN9" s="111"/>
      <c r="BO9" s="117"/>
      <c r="BP9" s="111"/>
      <c r="BQ9" s="117"/>
      <c r="BR9" s="111"/>
      <c r="BS9" s="111"/>
      <c r="BT9" s="111"/>
      <c r="BU9" s="111"/>
      <c r="BV9" s="111"/>
      <c r="BW9" s="111">
        <v>144</v>
      </c>
      <c r="BX9" s="111">
        <v>209</v>
      </c>
      <c r="BY9" s="111">
        <f>BX9-BW9</f>
        <v>65</v>
      </c>
      <c r="BZ9" s="111">
        <v>3800</v>
      </c>
      <c r="CA9" s="111">
        <f>BY9*BZ9</f>
        <v>247000</v>
      </c>
      <c r="CB9" s="111"/>
      <c r="CC9" s="111">
        <f>CA9/3</f>
        <v>82333.333333333328</v>
      </c>
    </row>
    <row r="10" spans="1:81" ht="15.75" customHeight="1">
      <c r="A10" s="101" t="s">
        <v>42</v>
      </c>
      <c r="B10" s="101" t="s">
        <v>144</v>
      </c>
      <c r="C10" s="102">
        <v>302</v>
      </c>
      <c r="D10" s="102" t="s">
        <v>145</v>
      </c>
      <c r="E10" s="102">
        <v>1</v>
      </c>
      <c r="F10" s="103">
        <v>4000000</v>
      </c>
      <c r="G10" s="104">
        <v>3800000</v>
      </c>
      <c r="H10" s="104">
        <v>3800000</v>
      </c>
      <c r="I10" s="104">
        <v>3800000</v>
      </c>
      <c r="J10" s="102">
        <v>30</v>
      </c>
      <c r="K10" s="102">
        <v>30</v>
      </c>
      <c r="L10" s="105"/>
      <c r="M10" s="106"/>
      <c r="N10" s="101">
        <v>2</v>
      </c>
      <c r="O10" s="102"/>
      <c r="P10" s="102"/>
      <c r="Q10" s="102">
        <f t="shared" si="3"/>
        <v>0</v>
      </c>
      <c r="R10" s="102">
        <v>4000</v>
      </c>
      <c r="S10" s="106">
        <f t="shared" si="4"/>
        <v>0</v>
      </c>
      <c r="T10" s="102"/>
      <c r="U10" s="102"/>
      <c r="V10" s="107">
        <v>2</v>
      </c>
      <c r="W10" s="102">
        <v>120000</v>
      </c>
      <c r="X10" s="102">
        <f t="shared" si="5"/>
        <v>240000</v>
      </c>
      <c r="Y10" s="101"/>
      <c r="Z10" s="102"/>
      <c r="AA10" s="102"/>
      <c r="AB10" s="102">
        <v>1</v>
      </c>
      <c r="AC10" s="102">
        <v>100000</v>
      </c>
      <c r="AD10" s="102">
        <f t="shared" si="6"/>
        <v>100000</v>
      </c>
      <c r="AE10" s="102">
        <v>2</v>
      </c>
      <c r="AF10" s="102">
        <v>60000</v>
      </c>
      <c r="AG10" s="102">
        <f t="shared" si="7"/>
        <v>120000</v>
      </c>
      <c r="AH10" s="102"/>
      <c r="AI10" s="102"/>
      <c r="AJ10" s="102"/>
      <c r="AK10" s="101"/>
      <c r="AL10" s="102"/>
      <c r="AM10" s="108"/>
      <c r="AN10" s="102">
        <v>2</v>
      </c>
      <c r="AO10" s="102">
        <v>120000</v>
      </c>
      <c r="AP10" s="106">
        <f t="shared" si="8"/>
        <v>240000</v>
      </c>
      <c r="AQ10" s="109">
        <f>(SUM(S10,X10,AA10,AD10,AG10,AJ10,AM10,AP10))</f>
        <v>700000</v>
      </c>
      <c r="AR10" s="110">
        <f t="shared" si="9"/>
        <v>8300000</v>
      </c>
      <c r="AS10" s="111" t="s">
        <v>148</v>
      </c>
      <c r="AT10" s="112">
        <v>8300000</v>
      </c>
      <c r="AU10" s="113" t="str">
        <f t="shared" si="10"/>
        <v>Đủ</v>
      </c>
      <c r="AV10" s="114">
        <f t="shared" si="2"/>
        <v>0</v>
      </c>
      <c r="AW10" s="115"/>
      <c r="AX10" s="116"/>
      <c r="AY10" s="111"/>
      <c r="AZ10" s="111"/>
      <c r="BA10" s="111"/>
      <c r="BB10" s="111"/>
      <c r="BC10" s="111"/>
      <c r="BD10" s="111"/>
      <c r="BE10" s="111"/>
      <c r="BF10" s="111"/>
      <c r="BG10" s="111"/>
      <c r="BH10" s="116"/>
      <c r="BI10" s="111"/>
      <c r="BJ10" s="111"/>
      <c r="BK10" s="111"/>
      <c r="BL10" s="111"/>
      <c r="BM10" s="111"/>
      <c r="BN10" s="111"/>
      <c r="BO10" s="117"/>
      <c r="BP10" s="111"/>
      <c r="BQ10" s="117"/>
      <c r="BR10" s="111"/>
      <c r="BS10" s="111"/>
      <c r="BT10" s="111"/>
      <c r="BU10" s="111"/>
      <c r="BV10" s="111"/>
      <c r="BW10" s="111">
        <v>144</v>
      </c>
      <c r="BX10" s="111">
        <v>209</v>
      </c>
      <c r="BY10" s="111">
        <f>BX10-BW10</f>
        <v>65</v>
      </c>
      <c r="BZ10" s="111">
        <v>3800</v>
      </c>
      <c r="CA10" s="111">
        <f>BY10*BZ10</f>
        <v>247000</v>
      </c>
      <c r="CB10" s="111"/>
      <c r="CC10" s="111">
        <f>CA10/3</f>
        <v>82333.333333333328</v>
      </c>
    </row>
    <row r="11" spans="1:81" ht="19.5" customHeight="1">
      <c r="A11" s="101" t="s">
        <v>43</v>
      </c>
      <c r="B11" s="101" t="s">
        <v>144</v>
      </c>
      <c r="C11" s="102">
        <v>303</v>
      </c>
      <c r="D11" s="102" t="s">
        <v>145</v>
      </c>
      <c r="E11" s="102">
        <v>1</v>
      </c>
      <c r="F11" s="103">
        <v>4300000</v>
      </c>
      <c r="G11" s="104">
        <v>4000000</v>
      </c>
      <c r="H11" s="104">
        <v>4000000</v>
      </c>
      <c r="I11" s="104">
        <v>4000000</v>
      </c>
      <c r="J11" s="102">
        <v>30</v>
      </c>
      <c r="K11" s="102">
        <v>30</v>
      </c>
      <c r="L11" s="105"/>
      <c r="M11" s="106"/>
      <c r="N11" s="107">
        <v>3</v>
      </c>
      <c r="O11" s="102"/>
      <c r="P11" s="102"/>
      <c r="Q11" s="102">
        <f t="shared" si="3"/>
        <v>0</v>
      </c>
      <c r="R11" s="102">
        <v>4200</v>
      </c>
      <c r="S11" s="106">
        <f t="shared" si="4"/>
        <v>0</v>
      </c>
      <c r="T11" s="102"/>
      <c r="U11" s="102"/>
      <c r="V11" s="107">
        <v>3</v>
      </c>
      <c r="W11" s="102">
        <v>120000</v>
      </c>
      <c r="X11" s="102">
        <f t="shared" si="5"/>
        <v>360000</v>
      </c>
      <c r="Y11" s="107"/>
      <c r="Z11" s="102"/>
      <c r="AA11" s="102">
        <f>Y11*Z11</f>
        <v>0</v>
      </c>
      <c r="AB11" s="101"/>
      <c r="AC11" s="102">
        <v>100000</v>
      </c>
      <c r="AD11" s="102">
        <f t="shared" si="6"/>
        <v>0</v>
      </c>
      <c r="AE11" s="102">
        <v>3</v>
      </c>
      <c r="AF11" s="102">
        <v>60000</v>
      </c>
      <c r="AG11" s="102">
        <f t="shared" si="7"/>
        <v>180000</v>
      </c>
      <c r="AH11" s="102"/>
      <c r="AI11" s="102"/>
      <c r="AJ11" s="102"/>
      <c r="AK11" s="107"/>
      <c r="AL11" s="102"/>
      <c r="AM11" s="108"/>
      <c r="AN11" s="102">
        <v>3</v>
      </c>
      <c r="AO11" s="102">
        <v>120000</v>
      </c>
      <c r="AP11" s="102">
        <f t="shared" si="8"/>
        <v>360000</v>
      </c>
      <c r="AQ11" s="109">
        <f>SUM(S11,X11,AA11,AD11,AG11,AJ11,AM11,AP11)</f>
        <v>900000</v>
      </c>
      <c r="AR11" s="110">
        <f t="shared" si="9"/>
        <v>8900000</v>
      </c>
      <c r="AS11" s="111" t="s">
        <v>151</v>
      </c>
      <c r="AT11" s="112">
        <f>2000000+500000+4400000+2000000</f>
        <v>8900000</v>
      </c>
      <c r="AU11" s="113" t="str">
        <f t="shared" si="10"/>
        <v>Đủ</v>
      </c>
      <c r="AV11" s="114">
        <f t="shared" si="2"/>
        <v>0</v>
      </c>
      <c r="AW11" s="115"/>
      <c r="AX11" s="116"/>
      <c r="AY11" s="111"/>
      <c r="AZ11" s="111"/>
      <c r="BA11" s="111"/>
      <c r="BB11" s="111"/>
      <c r="BC11" s="111"/>
      <c r="BD11" s="111"/>
      <c r="BE11" s="111"/>
      <c r="BF11" s="111"/>
      <c r="BG11" s="111"/>
      <c r="BH11" s="116"/>
      <c r="BI11" s="111"/>
      <c r="BJ11" s="111"/>
      <c r="BK11" s="111"/>
      <c r="BL11" s="111"/>
      <c r="BM11" s="111"/>
      <c r="BN11" s="111"/>
      <c r="BO11" s="117"/>
      <c r="BP11" s="111"/>
      <c r="BQ11" s="117"/>
      <c r="BR11" s="111"/>
      <c r="BS11" s="111"/>
      <c r="BT11" s="111"/>
      <c r="BU11" s="111"/>
      <c r="BV11" s="111"/>
      <c r="BW11" s="111"/>
      <c r="BX11" s="111"/>
      <c r="BY11" s="111"/>
      <c r="BZ11" s="111"/>
      <c r="CA11" s="111"/>
      <c r="CB11" s="111"/>
      <c r="CC11" s="111"/>
    </row>
    <row r="12" spans="1:81" ht="21.75" customHeight="1">
      <c r="A12" s="101" t="s">
        <v>44</v>
      </c>
      <c r="B12" s="101" t="s">
        <v>144</v>
      </c>
      <c r="C12" s="102">
        <v>304</v>
      </c>
      <c r="D12" s="102" t="s">
        <v>145</v>
      </c>
      <c r="E12" s="102">
        <v>1</v>
      </c>
      <c r="F12" s="103">
        <v>4400000</v>
      </c>
      <c r="G12" s="104">
        <v>4100000</v>
      </c>
      <c r="H12" s="104">
        <v>4100000</v>
      </c>
      <c r="I12" s="104">
        <v>4100000</v>
      </c>
      <c r="J12" s="103">
        <v>30</v>
      </c>
      <c r="K12" s="102">
        <v>30</v>
      </c>
      <c r="L12" s="105"/>
      <c r="M12" s="106"/>
      <c r="N12" s="119">
        <v>2</v>
      </c>
      <c r="O12" s="102"/>
      <c r="P12" s="102"/>
      <c r="Q12" s="102">
        <f t="shared" si="3"/>
        <v>0</v>
      </c>
      <c r="R12" s="102">
        <v>4000</v>
      </c>
      <c r="S12" s="106">
        <f t="shared" si="4"/>
        <v>0</v>
      </c>
      <c r="T12" s="102"/>
      <c r="U12" s="102"/>
      <c r="V12" s="107">
        <v>2</v>
      </c>
      <c r="W12" s="102">
        <v>120000</v>
      </c>
      <c r="X12" s="102">
        <f t="shared" si="5"/>
        <v>240000</v>
      </c>
      <c r="Y12" s="119"/>
      <c r="Z12" s="102"/>
      <c r="AA12" s="102">
        <f>Y12*Z12</f>
        <v>0</v>
      </c>
      <c r="AB12" s="101">
        <v>1</v>
      </c>
      <c r="AC12" s="102">
        <v>100000</v>
      </c>
      <c r="AD12" s="102">
        <f t="shared" si="6"/>
        <v>100000</v>
      </c>
      <c r="AE12" s="102">
        <v>2</v>
      </c>
      <c r="AF12" s="102">
        <v>60000</v>
      </c>
      <c r="AG12" s="102">
        <f t="shared" si="7"/>
        <v>120000</v>
      </c>
      <c r="AH12" s="102"/>
      <c r="AI12" s="102"/>
      <c r="AJ12" s="102"/>
      <c r="AK12" s="119"/>
      <c r="AL12" s="102"/>
      <c r="AM12" s="108"/>
      <c r="AN12" s="102">
        <v>2</v>
      </c>
      <c r="AO12" s="102">
        <v>120000</v>
      </c>
      <c r="AP12" s="102">
        <f t="shared" si="8"/>
        <v>240000</v>
      </c>
      <c r="AQ12" s="109">
        <f>SUM(S12,X12,AA12,AD12,AG12,AJ12,AM12,AP12)</f>
        <v>700000</v>
      </c>
      <c r="AR12" s="110">
        <f t="shared" si="9"/>
        <v>8900000</v>
      </c>
      <c r="AS12" s="111" t="s">
        <v>152</v>
      </c>
      <c r="AT12" s="112">
        <f>4800000+4100000</f>
        <v>8900000</v>
      </c>
      <c r="AU12" s="113" t="str">
        <f t="shared" si="10"/>
        <v>Đủ</v>
      </c>
      <c r="AV12" s="114">
        <f t="shared" si="2"/>
        <v>0</v>
      </c>
      <c r="AW12" s="115"/>
      <c r="AX12" s="116"/>
      <c r="AY12" s="111"/>
      <c r="AZ12" s="111"/>
      <c r="BA12" s="111"/>
      <c r="BB12" s="111"/>
      <c r="BC12" s="111"/>
      <c r="BD12" s="111"/>
      <c r="BE12" s="111"/>
      <c r="BF12" s="111"/>
      <c r="BG12" s="111"/>
      <c r="BH12" s="116"/>
      <c r="BI12" s="111"/>
      <c r="BJ12" s="111"/>
      <c r="BK12" s="111"/>
      <c r="BL12" s="111"/>
      <c r="BM12" s="111"/>
      <c r="BN12" s="111"/>
      <c r="BO12" s="117"/>
      <c r="BP12" s="111"/>
      <c r="BQ12" s="117"/>
      <c r="BR12" s="111"/>
      <c r="BS12" s="111"/>
      <c r="BT12" s="111"/>
      <c r="BU12" s="111"/>
      <c r="BV12" s="111"/>
      <c r="BW12" s="111"/>
      <c r="BX12" s="111"/>
      <c r="BY12" s="111"/>
      <c r="BZ12" s="111"/>
      <c r="CA12" s="111"/>
      <c r="CB12" s="111"/>
      <c r="CC12" s="111"/>
    </row>
    <row r="13" spans="1:81" ht="21.75" customHeight="1">
      <c r="A13" s="101" t="s">
        <v>45</v>
      </c>
      <c r="B13" s="101" t="s">
        <v>144</v>
      </c>
      <c r="C13" s="102">
        <v>401</v>
      </c>
      <c r="D13" s="102" t="s">
        <v>145</v>
      </c>
      <c r="E13" s="102">
        <v>1</v>
      </c>
      <c r="F13" s="103">
        <v>4200000</v>
      </c>
      <c r="G13" s="103">
        <v>3900000</v>
      </c>
      <c r="H13" s="103">
        <f>(3900000/31)*21</f>
        <v>2641935.4838709678</v>
      </c>
      <c r="I13" s="103">
        <v>3900000</v>
      </c>
      <c r="J13" s="103">
        <v>30</v>
      </c>
      <c r="K13" s="102">
        <v>30</v>
      </c>
      <c r="L13" s="105"/>
      <c r="M13" s="103"/>
      <c r="N13" s="119">
        <v>2</v>
      </c>
      <c r="O13" s="102"/>
      <c r="P13" s="102"/>
      <c r="Q13" s="102">
        <f t="shared" si="3"/>
        <v>0</v>
      </c>
      <c r="R13" s="102">
        <v>4000</v>
      </c>
      <c r="S13" s="106"/>
      <c r="T13" s="102"/>
      <c r="U13" s="102"/>
      <c r="V13" s="107">
        <v>2</v>
      </c>
      <c r="W13" s="102">
        <v>120000</v>
      </c>
      <c r="X13" s="102">
        <f t="shared" si="5"/>
        <v>240000</v>
      </c>
      <c r="Y13" s="119"/>
      <c r="Z13" s="102"/>
      <c r="AA13" s="102"/>
      <c r="AB13" s="101">
        <v>1</v>
      </c>
      <c r="AC13" s="102">
        <v>100000</v>
      </c>
      <c r="AD13" s="102">
        <f t="shared" si="6"/>
        <v>100000</v>
      </c>
      <c r="AE13" s="102">
        <v>2</v>
      </c>
      <c r="AF13" s="102">
        <v>60000</v>
      </c>
      <c r="AG13" s="102">
        <f t="shared" si="7"/>
        <v>120000</v>
      </c>
      <c r="AH13" s="102"/>
      <c r="AI13" s="102"/>
      <c r="AJ13" s="102"/>
      <c r="AK13" s="119"/>
      <c r="AL13" s="102"/>
      <c r="AM13" s="108"/>
      <c r="AN13" s="102">
        <v>2</v>
      </c>
      <c r="AO13" s="102">
        <v>120000</v>
      </c>
      <c r="AP13" s="102">
        <f t="shared" si="8"/>
        <v>240000</v>
      </c>
      <c r="AQ13" s="109">
        <f>(SUM(S13,X13,AA13,AD13,AG13,AJ13,AM13,AP13)/31)*21</f>
        <v>474193.54838709679</v>
      </c>
      <c r="AR13" s="110">
        <f t="shared" si="9"/>
        <v>7016129.0322580645</v>
      </c>
      <c r="AS13" s="111" t="s">
        <v>153</v>
      </c>
      <c r="AT13" s="112">
        <f>3900000+3464000</f>
        <v>7364000</v>
      </c>
      <c r="AU13" s="113" t="str">
        <f t="shared" si="10"/>
        <v>Thừa</v>
      </c>
      <c r="AV13" s="114">
        <f t="shared" si="2"/>
        <v>347870.96774193551</v>
      </c>
      <c r="AW13" s="115"/>
      <c r="AX13" s="116"/>
      <c r="AY13" s="111"/>
      <c r="AZ13" s="111"/>
      <c r="BA13" s="111"/>
      <c r="BB13" s="111"/>
      <c r="BC13" s="111"/>
      <c r="BD13" s="111"/>
      <c r="BE13" s="111"/>
      <c r="BF13" s="111"/>
      <c r="BG13" s="111"/>
      <c r="BH13" s="116"/>
      <c r="BI13" s="111"/>
      <c r="BJ13" s="111"/>
      <c r="BK13" s="111"/>
      <c r="BL13" s="111"/>
      <c r="BM13" s="111"/>
      <c r="BN13" s="111"/>
      <c r="BO13" s="117"/>
      <c r="BP13" s="111"/>
      <c r="BQ13" s="117"/>
      <c r="BR13" s="111"/>
      <c r="BS13" s="111"/>
      <c r="BT13" s="111"/>
      <c r="BU13" s="111"/>
      <c r="BV13" s="111"/>
      <c r="BW13" s="111"/>
      <c r="BX13" s="111"/>
      <c r="BY13" s="111"/>
      <c r="BZ13" s="111"/>
      <c r="CA13" s="111"/>
      <c r="CB13" s="111"/>
      <c r="CC13" s="111"/>
    </row>
    <row r="14" spans="1:81" ht="21.75" customHeight="1">
      <c r="A14" s="101" t="s">
        <v>46</v>
      </c>
      <c r="B14" s="101" t="s">
        <v>144</v>
      </c>
      <c r="C14" s="102">
        <v>402</v>
      </c>
      <c r="D14" s="102" t="s">
        <v>145</v>
      </c>
      <c r="E14" s="102">
        <v>1</v>
      </c>
      <c r="F14" s="103">
        <v>4000000</v>
      </c>
      <c r="G14" s="103">
        <v>3900000</v>
      </c>
      <c r="H14" s="103">
        <v>3900000</v>
      </c>
      <c r="I14" s="103">
        <v>3900000</v>
      </c>
      <c r="J14" s="102">
        <v>30</v>
      </c>
      <c r="K14" s="102">
        <v>30</v>
      </c>
      <c r="L14" s="105"/>
      <c r="M14" s="106"/>
      <c r="N14" s="119">
        <v>2</v>
      </c>
      <c r="O14" s="102"/>
      <c r="P14" s="102"/>
      <c r="Q14" s="102">
        <f t="shared" si="3"/>
        <v>0</v>
      </c>
      <c r="R14" s="102">
        <v>4000</v>
      </c>
      <c r="S14" s="106"/>
      <c r="T14" s="102"/>
      <c r="U14" s="102"/>
      <c r="V14" s="107">
        <v>2</v>
      </c>
      <c r="W14" s="102">
        <v>120000</v>
      </c>
      <c r="X14" s="102">
        <f t="shared" si="5"/>
        <v>240000</v>
      </c>
      <c r="Y14" s="119"/>
      <c r="Z14" s="102"/>
      <c r="AA14" s="102"/>
      <c r="AB14" s="101">
        <v>1</v>
      </c>
      <c r="AC14" s="102">
        <v>100000</v>
      </c>
      <c r="AD14" s="102">
        <f t="shared" si="6"/>
        <v>100000</v>
      </c>
      <c r="AE14" s="102">
        <v>2</v>
      </c>
      <c r="AF14" s="102">
        <v>60000</v>
      </c>
      <c r="AG14" s="102">
        <f t="shared" si="7"/>
        <v>120000</v>
      </c>
      <c r="AH14" s="102">
        <v>1</v>
      </c>
      <c r="AI14" s="102">
        <v>400000</v>
      </c>
      <c r="AJ14" s="102">
        <f>AH14*AI14</f>
        <v>400000</v>
      </c>
      <c r="AK14" s="119"/>
      <c r="AL14" s="102"/>
      <c r="AM14" s="108"/>
      <c r="AN14" s="102">
        <v>2</v>
      </c>
      <c r="AO14" s="102">
        <v>120000</v>
      </c>
      <c r="AP14" s="102">
        <f t="shared" si="8"/>
        <v>240000</v>
      </c>
      <c r="AQ14" s="109">
        <f>(SUM(S14,X14,AA14,AD14,AG14,AJ14,AM14,AP14))</f>
        <v>1100000</v>
      </c>
      <c r="AR14" s="110">
        <f t="shared" si="9"/>
        <v>8900000</v>
      </c>
      <c r="AS14" s="111" t="s">
        <v>154</v>
      </c>
      <c r="AT14" s="112">
        <f>5000000+900000+3000000</f>
        <v>8900000</v>
      </c>
      <c r="AU14" s="113" t="str">
        <f t="shared" si="10"/>
        <v>Đủ</v>
      </c>
      <c r="AV14" s="114">
        <f t="shared" si="2"/>
        <v>0</v>
      </c>
      <c r="AW14" s="115"/>
      <c r="AX14" s="116"/>
      <c r="AY14" s="111"/>
      <c r="AZ14" s="111"/>
      <c r="BA14" s="111"/>
      <c r="BB14" s="111"/>
      <c r="BC14" s="111"/>
      <c r="BD14" s="111"/>
      <c r="BE14" s="111"/>
      <c r="BF14" s="111"/>
      <c r="BG14" s="111"/>
      <c r="BH14" s="116"/>
      <c r="BI14" s="111"/>
      <c r="BJ14" s="111"/>
      <c r="BK14" s="111"/>
      <c r="BL14" s="111"/>
      <c r="BM14" s="111"/>
      <c r="BN14" s="111"/>
      <c r="BO14" s="117"/>
      <c r="BP14" s="111"/>
      <c r="BQ14" s="117"/>
      <c r="BR14" s="111"/>
      <c r="BS14" s="111"/>
      <c r="BT14" s="111"/>
      <c r="BU14" s="111"/>
      <c r="BV14" s="111"/>
      <c r="BW14" s="111"/>
      <c r="BX14" s="111"/>
      <c r="BY14" s="111"/>
      <c r="BZ14" s="111"/>
      <c r="CA14" s="111"/>
      <c r="CB14" s="111"/>
      <c r="CC14" s="111"/>
    </row>
    <row r="15" spans="1:81" ht="20.25" customHeight="1">
      <c r="A15" s="101" t="s">
        <v>47</v>
      </c>
      <c r="B15" s="101" t="s">
        <v>144</v>
      </c>
      <c r="C15" s="102">
        <v>403</v>
      </c>
      <c r="D15" s="102" t="s">
        <v>145</v>
      </c>
      <c r="E15" s="102">
        <v>1</v>
      </c>
      <c r="F15" s="103">
        <v>4300000</v>
      </c>
      <c r="G15" s="103">
        <v>3900000</v>
      </c>
      <c r="H15" s="103">
        <f>(3900000/31)*13</f>
        <v>1635483.8709677421</v>
      </c>
      <c r="I15" s="103">
        <v>3900000</v>
      </c>
      <c r="J15" s="102">
        <v>30</v>
      </c>
      <c r="K15" s="102">
        <v>30</v>
      </c>
      <c r="L15" s="105"/>
      <c r="M15" s="106"/>
      <c r="N15" s="119">
        <v>2</v>
      </c>
      <c r="O15" s="102"/>
      <c r="P15" s="102"/>
      <c r="Q15" s="102">
        <f t="shared" si="3"/>
        <v>0</v>
      </c>
      <c r="R15" s="102">
        <v>4000</v>
      </c>
      <c r="S15" s="106"/>
      <c r="T15" s="102"/>
      <c r="U15" s="102"/>
      <c r="V15" s="107">
        <v>2</v>
      </c>
      <c r="W15" s="102">
        <v>120000</v>
      </c>
      <c r="X15" s="102">
        <f t="shared" si="5"/>
        <v>240000</v>
      </c>
      <c r="Y15" s="119"/>
      <c r="Z15" s="102"/>
      <c r="AA15" s="102"/>
      <c r="AB15" s="101">
        <v>1</v>
      </c>
      <c r="AC15" s="102">
        <v>100000</v>
      </c>
      <c r="AD15" s="102">
        <f t="shared" si="6"/>
        <v>100000</v>
      </c>
      <c r="AE15" s="102">
        <v>2</v>
      </c>
      <c r="AF15" s="102">
        <v>60000</v>
      </c>
      <c r="AG15" s="102">
        <f t="shared" si="7"/>
        <v>120000</v>
      </c>
      <c r="AH15" s="102"/>
      <c r="AI15" s="102"/>
      <c r="AJ15" s="102"/>
      <c r="AK15" s="119"/>
      <c r="AL15" s="102"/>
      <c r="AM15" s="108"/>
      <c r="AN15" s="102">
        <v>2</v>
      </c>
      <c r="AO15" s="102">
        <v>120000</v>
      </c>
      <c r="AP15" s="102">
        <f t="shared" si="8"/>
        <v>240000</v>
      </c>
      <c r="AQ15" s="109">
        <f>((SUM(S15,X15,AA15,AD15,AG15,AJ15,AM15,AP15))/31)*13</f>
        <v>293548.38709677418</v>
      </c>
      <c r="AR15" s="110">
        <f t="shared" si="9"/>
        <v>5829032.2580645159</v>
      </c>
      <c r="AS15" s="111" t="s">
        <v>155</v>
      </c>
      <c r="AT15" s="112">
        <f>2000000+4212000</f>
        <v>6212000</v>
      </c>
      <c r="AU15" s="113" t="str">
        <f t="shared" si="10"/>
        <v>Thừa</v>
      </c>
      <c r="AV15" s="114">
        <f t="shared" si="2"/>
        <v>382967.74193548411</v>
      </c>
      <c r="AW15" s="115"/>
      <c r="AX15" s="116"/>
      <c r="AY15" s="111"/>
      <c r="AZ15" s="111"/>
      <c r="BA15" s="111"/>
      <c r="BB15" s="111"/>
      <c r="BC15" s="111"/>
      <c r="BD15" s="111"/>
      <c r="BE15" s="111"/>
      <c r="BF15" s="111"/>
      <c r="BG15" s="111"/>
      <c r="BH15" s="116"/>
      <c r="BI15" s="111"/>
      <c r="BJ15" s="111"/>
      <c r="BK15" s="111"/>
      <c r="BL15" s="111"/>
      <c r="BM15" s="111"/>
      <c r="BN15" s="111"/>
      <c r="BO15" s="117"/>
      <c r="BP15" s="111"/>
      <c r="BQ15" s="117"/>
      <c r="BR15" s="111"/>
      <c r="BS15" s="111"/>
      <c r="BT15" s="111"/>
      <c r="BU15" s="111"/>
      <c r="BV15" s="111"/>
      <c r="BW15" s="111"/>
      <c r="BX15" s="111"/>
      <c r="BY15" s="111"/>
      <c r="BZ15" s="111"/>
      <c r="CA15" s="111"/>
      <c r="CB15" s="111"/>
      <c r="CC15" s="111"/>
    </row>
    <row r="16" spans="1:81" ht="21.75" customHeight="1">
      <c r="A16" s="101" t="s">
        <v>48</v>
      </c>
      <c r="B16" s="101" t="s">
        <v>144</v>
      </c>
      <c r="C16" s="102">
        <v>404</v>
      </c>
      <c r="D16" s="102" t="s">
        <v>145</v>
      </c>
      <c r="E16" s="102">
        <v>1</v>
      </c>
      <c r="F16" s="103">
        <v>4400000</v>
      </c>
      <c r="G16" s="120">
        <v>3900000</v>
      </c>
      <c r="H16" s="120">
        <f>(3900000/31)*27</f>
        <v>3396774.1935483869</v>
      </c>
      <c r="I16" s="120">
        <v>3900000</v>
      </c>
      <c r="J16" s="102">
        <v>30</v>
      </c>
      <c r="K16" s="102">
        <v>30</v>
      </c>
      <c r="L16" s="105"/>
      <c r="M16" s="106"/>
      <c r="N16" s="119">
        <v>1</v>
      </c>
      <c r="O16" s="102"/>
      <c r="P16" s="102"/>
      <c r="Q16" s="102">
        <f t="shared" si="3"/>
        <v>0</v>
      </c>
      <c r="R16" s="102">
        <v>4000</v>
      </c>
      <c r="S16" s="106"/>
      <c r="T16" s="102"/>
      <c r="U16" s="102"/>
      <c r="V16" s="107">
        <v>1</v>
      </c>
      <c r="W16" s="102">
        <v>120000</v>
      </c>
      <c r="X16" s="102">
        <f t="shared" si="5"/>
        <v>120000</v>
      </c>
      <c r="Y16" s="119"/>
      <c r="Z16" s="102"/>
      <c r="AA16" s="102"/>
      <c r="AB16" s="101">
        <v>1</v>
      </c>
      <c r="AC16" s="102">
        <v>100000</v>
      </c>
      <c r="AD16" s="102">
        <f t="shared" si="6"/>
        <v>100000</v>
      </c>
      <c r="AE16" s="102">
        <v>1</v>
      </c>
      <c r="AF16" s="102">
        <v>60000</v>
      </c>
      <c r="AG16" s="102">
        <f t="shared" si="7"/>
        <v>60000</v>
      </c>
      <c r="AH16" s="102"/>
      <c r="AI16" s="102"/>
      <c r="AJ16" s="102"/>
      <c r="AK16" s="119"/>
      <c r="AL16" s="102"/>
      <c r="AM16" s="108"/>
      <c r="AN16" s="102">
        <v>1</v>
      </c>
      <c r="AO16" s="102">
        <v>120000</v>
      </c>
      <c r="AP16" s="102">
        <f t="shared" si="8"/>
        <v>120000</v>
      </c>
      <c r="AQ16" s="109">
        <f>(SUM(S16,X16,AA16,AD16,AG16,AJ16,AM16,AP16)/31)*27</f>
        <v>348387.09677419357</v>
      </c>
      <c r="AR16" s="110">
        <f t="shared" si="9"/>
        <v>7645161.2903225804</v>
      </c>
      <c r="AS16" s="111" t="s">
        <v>156</v>
      </c>
      <c r="AT16" s="112">
        <f>2900000+1000000+3845000</f>
        <v>7745000</v>
      </c>
      <c r="AU16" s="113" t="str">
        <f t="shared" si="10"/>
        <v>Thừa</v>
      </c>
      <c r="AV16" s="114">
        <f t="shared" si="2"/>
        <v>99838.709677419625</v>
      </c>
      <c r="AW16" s="115"/>
      <c r="AX16" s="116"/>
      <c r="AY16" s="111"/>
      <c r="AZ16" s="111"/>
      <c r="BA16" s="111"/>
      <c r="BB16" s="111"/>
      <c r="BC16" s="111"/>
      <c r="BD16" s="111"/>
      <c r="BE16" s="111"/>
      <c r="BF16" s="111"/>
      <c r="BG16" s="111"/>
      <c r="BH16" s="116"/>
      <c r="BI16" s="111"/>
      <c r="BJ16" s="111"/>
      <c r="BK16" s="111"/>
      <c r="BL16" s="111"/>
      <c r="BM16" s="111"/>
      <c r="BN16" s="111"/>
      <c r="BO16" s="117"/>
      <c r="BP16" s="111"/>
      <c r="BQ16" s="117"/>
      <c r="BR16" s="111"/>
      <c r="BS16" s="111"/>
      <c r="BT16" s="111"/>
      <c r="BU16" s="111"/>
      <c r="BV16" s="111"/>
      <c r="BW16" s="111"/>
      <c r="BX16" s="111"/>
      <c r="BY16" s="111"/>
      <c r="BZ16" s="111"/>
      <c r="CA16" s="111"/>
      <c r="CB16" s="111"/>
      <c r="CC16" s="111"/>
    </row>
    <row r="17" spans="1:81" ht="20.25" customHeight="1">
      <c r="A17" s="101" t="s">
        <v>49</v>
      </c>
      <c r="B17" s="101" t="s">
        <v>144</v>
      </c>
      <c r="C17" s="102">
        <v>601</v>
      </c>
      <c r="D17" s="102" t="s">
        <v>145</v>
      </c>
      <c r="E17" s="102">
        <v>1</v>
      </c>
      <c r="F17" s="103">
        <v>4100000</v>
      </c>
      <c r="G17" s="120">
        <v>3800000</v>
      </c>
      <c r="H17" s="120">
        <f>(3800000/31)*24</f>
        <v>2941935.4838709678</v>
      </c>
      <c r="I17" s="120">
        <v>3800000</v>
      </c>
      <c r="J17" s="102">
        <v>30</v>
      </c>
      <c r="K17" s="102">
        <v>30</v>
      </c>
      <c r="L17" s="105"/>
      <c r="M17" s="106"/>
      <c r="N17" s="119">
        <v>1</v>
      </c>
      <c r="O17" s="102"/>
      <c r="P17" s="102"/>
      <c r="Q17" s="102">
        <f t="shared" si="3"/>
        <v>0</v>
      </c>
      <c r="R17" s="102">
        <v>4000</v>
      </c>
      <c r="S17" s="106"/>
      <c r="T17" s="106"/>
      <c r="U17" s="106"/>
      <c r="V17" s="121">
        <v>1</v>
      </c>
      <c r="W17" s="102">
        <v>120000</v>
      </c>
      <c r="X17" s="102">
        <f t="shared" si="5"/>
        <v>120000</v>
      </c>
      <c r="Y17" s="119"/>
      <c r="Z17" s="102"/>
      <c r="AA17" s="102"/>
      <c r="AB17" s="101">
        <v>1</v>
      </c>
      <c r="AC17" s="102">
        <v>100000</v>
      </c>
      <c r="AD17" s="102">
        <f t="shared" si="6"/>
        <v>100000</v>
      </c>
      <c r="AE17" s="102">
        <v>1</v>
      </c>
      <c r="AF17" s="102">
        <v>60000</v>
      </c>
      <c r="AG17" s="102">
        <f t="shared" si="7"/>
        <v>60000</v>
      </c>
      <c r="AH17" s="102"/>
      <c r="AI17" s="102"/>
      <c r="AJ17" s="102"/>
      <c r="AK17" s="119"/>
      <c r="AL17" s="102"/>
      <c r="AM17" s="108"/>
      <c r="AN17" s="102">
        <v>1</v>
      </c>
      <c r="AO17" s="102">
        <v>120000</v>
      </c>
      <c r="AP17" s="102">
        <f t="shared" si="8"/>
        <v>120000</v>
      </c>
      <c r="AQ17" s="109">
        <f>((SUM(S17,X17,AA17,AD17,AG17,AJ17,AM17,AP17))/31)*24</f>
        <v>309677.41935483873</v>
      </c>
      <c r="AR17" s="110">
        <f t="shared" si="9"/>
        <v>7051612.9032258065</v>
      </c>
      <c r="AS17" s="111" t="s">
        <v>157</v>
      </c>
      <c r="AT17" s="112">
        <f>2000000+5051000</f>
        <v>7051000</v>
      </c>
      <c r="AU17" s="113" t="str">
        <f t="shared" si="10"/>
        <v>Thiếu</v>
      </c>
      <c r="AV17" s="114">
        <f t="shared" si="2"/>
        <v>-612.90322580654174</v>
      </c>
      <c r="AW17" s="115"/>
      <c r="AX17" s="116"/>
      <c r="AY17" s="111"/>
      <c r="AZ17" s="111"/>
      <c r="BA17" s="111"/>
      <c r="BB17" s="111"/>
      <c r="BC17" s="111"/>
      <c r="BD17" s="111"/>
      <c r="BE17" s="111"/>
      <c r="BF17" s="111"/>
      <c r="BG17" s="111"/>
      <c r="BH17" s="116"/>
      <c r="BI17" s="111"/>
      <c r="BJ17" s="111"/>
      <c r="BK17" s="111"/>
      <c r="BL17" s="111"/>
      <c r="BM17" s="111"/>
      <c r="BN17" s="111"/>
      <c r="BO17" s="117"/>
      <c r="BP17" s="111"/>
      <c r="BQ17" s="117"/>
      <c r="BR17" s="111"/>
      <c r="BS17" s="111"/>
      <c r="BT17" s="111"/>
      <c r="BU17" s="111"/>
      <c r="BV17" s="111"/>
      <c r="BW17" s="111"/>
      <c r="BX17" s="111"/>
      <c r="BY17" s="111"/>
      <c r="BZ17" s="111"/>
      <c r="CA17" s="111"/>
      <c r="CB17" s="111"/>
      <c r="CC17" s="111"/>
    </row>
    <row r="18" spans="1:81" ht="18" customHeight="1">
      <c r="A18" s="101" t="s">
        <v>50</v>
      </c>
      <c r="B18" s="101" t="s">
        <v>144</v>
      </c>
      <c r="C18" s="102">
        <v>603</v>
      </c>
      <c r="D18" s="102" t="s">
        <v>145</v>
      </c>
      <c r="E18" s="102">
        <v>1</v>
      </c>
      <c r="F18" s="103">
        <v>3300000</v>
      </c>
      <c r="G18" s="120">
        <v>3000000</v>
      </c>
      <c r="H18" s="120">
        <v>3000000</v>
      </c>
      <c r="I18" s="120">
        <v>3000000</v>
      </c>
      <c r="J18" s="102">
        <v>30</v>
      </c>
      <c r="K18" s="102">
        <v>30</v>
      </c>
      <c r="L18" s="105"/>
      <c r="M18" s="106"/>
      <c r="N18" s="119">
        <v>2</v>
      </c>
      <c r="O18" s="102"/>
      <c r="P18" s="102"/>
      <c r="Q18" s="102">
        <f t="shared" si="3"/>
        <v>0</v>
      </c>
      <c r="R18" s="102">
        <v>4000</v>
      </c>
      <c r="S18" s="106"/>
      <c r="T18" s="102"/>
      <c r="U18" s="102"/>
      <c r="V18" s="107">
        <v>2</v>
      </c>
      <c r="W18" s="102">
        <v>120000</v>
      </c>
      <c r="X18" s="102">
        <f t="shared" si="5"/>
        <v>240000</v>
      </c>
      <c r="Y18" s="119"/>
      <c r="Z18" s="102"/>
      <c r="AA18" s="102">
        <f>Y18*Z18</f>
        <v>0</v>
      </c>
      <c r="AB18" s="101">
        <v>1</v>
      </c>
      <c r="AC18" s="102">
        <v>100000</v>
      </c>
      <c r="AD18" s="102">
        <f t="shared" si="6"/>
        <v>100000</v>
      </c>
      <c r="AE18" s="102">
        <v>2</v>
      </c>
      <c r="AF18" s="102">
        <v>60000</v>
      </c>
      <c r="AG18" s="102">
        <f t="shared" si="7"/>
        <v>120000</v>
      </c>
      <c r="AH18" s="102"/>
      <c r="AI18" s="102"/>
      <c r="AJ18" s="102"/>
      <c r="AK18" s="119"/>
      <c r="AL18" s="102"/>
      <c r="AM18" s="108"/>
      <c r="AN18" s="102">
        <v>2</v>
      </c>
      <c r="AO18" s="102">
        <v>120000</v>
      </c>
      <c r="AP18" s="102">
        <f t="shared" si="8"/>
        <v>240000</v>
      </c>
      <c r="AQ18" s="109">
        <f>SUM(S18,X18,AA18,AD18,AG18,AJ18,AM18,AP18)</f>
        <v>700000</v>
      </c>
      <c r="AR18" s="110">
        <f t="shared" si="9"/>
        <v>6700000</v>
      </c>
      <c r="AS18" s="111" t="s">
        <v>158</v>
      </c>
      <c r="AT18" s="112">
        <f>2500000+3700000+500000</f>
        <v>6700000</v>
      </c>
      <c r="AU18" s="113" t="str">
        <f t="shared" si="10"/>
        <v>Đủ</v>
      </c>
      <c r="AV18" s="114">
        <f t="shared" si="2"/>
        <v>0</v>
      </c>
      <c r="AW18" s="115"/>
      <c r="AX18" s="116"/>
      <c r="AY18" s="111"/>
      <c r="AZ18" s="111"/>
      <c r="BA18" s="111"/>
      <c r="BB18" s="111"/>
      <c r="BC18" s="111"/>
      <c r="BD18" s="111"/>
      <c r="BE18" s="111"/>
      <c r="BF18" s="111"/>
      <c r="BG18" s="111"/>
      <c r="BH18" s="116"/>
      <c r="BI18" s="111"/>
      <c r="BJ18" s="111"/>
      <c r="BK18" s="111"/>
      <c r="BL18" s="111"/>
      <c r="BM18" s="111"/>
      <c r="BN18" s="111"/>
      <c r="BO18" s="117"/>
      <c r="BP18" s="111"/>
      <c r="BQ18" s="117"/>
      <c r="BR18" s="111"/>
      <c r="BS18" s="111"/>
      <c r="BT18" s="111"/>
      <c r="BU18" s="111"/>
      <c r="BV18" s="111"/>
      <c r="BW18" s="111"/>
      <c r="BX18" s="111"/>
      <c r="BY18" s="111"/>
      <c r="BZ18" s="111"/>
      <c r="CA18" s="111"/>
      <c r="CB18" s="111"/>
      <c r="CC18" s="111"/>
    </row>
    <row r="19" spans="1:81" ht="22.5" customHeight="1">
      <c r="A19" s="101" t="s">
        <v>51</v>
      </c>
      <c r="B19" s="101" t="s">
        <v>144</v>
      </c>
      <c r="C19" s="102">
        <v>604</v>
      </c>
      <c r="D19" s="102" t="s">
        <v>145</v>
      </c>
      <c r="E19" s="102">
        <v>1</v>
      </c>
      <c r="F19" s="103">
        <v>3500000</v>
      </c>
      <c r="G19" s="120">
        <v>3500000</v>
      </c>
      <c r="H19" s="120">
        <v>3500000</v>
      </c>
      <c r="I19" s="120">
        <v>3500000</v>
      </c>
      <c r="J19" s="102">
        <v>30</v>
      </c>
      <c r="K19" s="102">
        <v>30</v>
      </c>
      <c r="L19" s="105"/>
      <c r="M19" s="106"/>
      <c r="N19" s="119">
        <v>2</v>
      </c>
      <c r="O19" s="102"/>
      <c r="P19" s="102"/>
      <c r="Q19" s="102">
        <f t="shared" si="3"/>
        <v>0</v>
      </c>
      <c r="R19" s="102">
        <v>4000</v>
      </c>
      <c r="S19" s="106"/>
      <c r="T19" s="102"/>
      <c r="U19" s="102"/>
      <c r="V19" s="107">
        <v>2</v>
      </c>
      <c r="W19" s="102">
        <v>120000</v>
      </c>
      <c r="X19" s="102">
        <f t="shared" si="5"/>
        <v>240000</v>
      </c>
      <c r="Y19" s="119"/>
      <c r="Z19" s="102"/>
      <c r="AA19" s="102"/>
      <c r="AB19" s="101">
        <v>1</v>
      </c>
      <c r="AC19" s="102">
        <v>100000</v>
      </c>
      <c r="AD19" s="102">
        <f t="shared" si="6"/>
        <v>100000</v>
      </c>
      <c r="AE19" s="102">
        <v>2</v>
      </c>
      <c r="AF19" s="102">
        <v>60000</v>
      </c>
      <c r="AG19" s="102">
        <f t="shared" si="7"/>
        <v>120000</v>
      </c>
      <c r="AH19" s="102"/>
      <c r="AI19" s="102"/>
      <c r="AJ19" s="102"/>
      <c r="AK19" s="119"/>
      <c r="AL19" s="102"/>
      <c r="AM19" s="108"/>
      <c r="AN19" s="102">
        <v>2</v>
      </c>
      <c r="AO19" s="102">
        <v>120000</v>
      </c>
      <c r="AP19" s="102">
        <f t="shared" si="8"/>
        <v>240000</v>
      </c>
      <c r="AQ19" s="109">
        <f>(SUM(S19,X19,AA19,AD19,AG19,AJ19,AM19,AP19))</f>
        <v>700000</v>
      </c>
      <c r="AR19" s="110">
        <f t="shared" si="9"/>
        <v>7700000</v>
      </c>
      <c r="AS19" s="111" t="s">
        <v>159</v>
      </c>
      <c r="AT19" s="112">
        <f>5700000+2000000</f>
        <v>7700000</v>
      </c>
      <c r="AU19" s="113" t="str">
        <f t="shared" si="10"/>
        <v>Đủ</v>
      </c>
      <c r="AV19" s="114">
        <f t="shared" si="2"/>
        <v>0</v>
      </c>
      <c r="AW19" s="115"/>
      <c r="AX19" s="116"/>
      <c r="AY19" s="111"/>
      <c r="AZ19" s="111"/>
      <c r="BA19" s="111"/>
      <c r="BB19" s="111"/>
      <c r="BC19" s="111"/>
      <c r="BD19" s="111"/>
      <c r="BE19" s="111"/>
      <c r="BF19" s="111"/>
      <c r="BG19" s="111"/>
      <c r="BH19" s="116"/>
      <c r="BI19" s="111"/>
      <c r="BJ19" s="111"/>
      <c r="BK19" s="111"/>
      <c r="BL19" s="111"/>
      <c r="BM19" s="111"/>
      <c r="BN19" s="111"/>
      <c r="BO19" s="117"/>
      <c r="BP19" s="111"/>
      <c r="BQ19" s="117"/>
      <c r="BR19" s="111"/>
      <c r="BS19" s="111"/>
      <c r="BT19" s="111"/>
      <c r="BU19" s="111"/>
      <c r="BV19" s="111"/>
      <c r="BW19" s="111"/>
      <c r="BX19" s="111"/>
      <c r="BY19" s="111"/>
      <c r="BZ19" s="111"/>
      <c r="CA19" s="111"/>
      <c r="CB19" s="111"/>
      <c r="CC19" s="111"/>
    </row>
    <row r="20" spans="1:81" ht="25.5" customHeight="1">
      <c r="A20" s="101"/>
      <c r="B20" s="101"/>
      <c r="C20" s="102"/>
      <c r="D20" s="102" t="s">
        <v>145</v>
      </c>
      <c r="E20" s="102">
        <v>1</v>
      </c>
      <c r="F20" s="103"/>
      <c r="G20" s="120"/>
      <c r="H20" s="120"/>
      <c r="I20" s="120"/>
      <c r="J20" s="102">
        <v>30</v>
      </c>
      <c r="K20" s="102">
        <v>30</v>
      </c>
      <c r="L20" s="105"/>
      <c r="M20" s="106"/>
      <c r="N20" s="119"/>
      <c r="O20" s="102"/>
      <c r="P20" s="102"/>
      <c r="Q20" s="102"/>
      <c r="R20" s="102">
        <v>4000</v>
      </c>
      <c r="S20" s="106"/>
      <c r="T20" s="102"/>
      <c r="U20" s="102"/>
      <c r="V20" s="107"/>
      <c r="W20" s="102">
        <v>35000</v>
      </c>
      <c r="X20" s="102">
        <f t="shared" si="5"/>
        <v>0</v>
      </c>
      <c r="Y20" s="119"/>
      <c r="Z20" s="102"/>
      <c r="AA20" s="102"/>
      <c r="AB20" s="101"/>
      <c r="AC20" s="102">
        <v>100000</v>
      </c>
      <c r="AD20" s="102">
        <f t="shared" si="6"/>
        <v>0</v>
      </c>
      <c r="AE20" s="102"/>
      <c r="AF20" s="102">
        <v>50000</v>
      </c>
      <c r="AG20" s="102">
        <f t="shared" si="7"/>
        <v>0</v>
      </c>
      <c r="AH20" s="102"/>
      <c r="AI20" s="102"/>
      <c r="AJ20" s="102"/>
      <c r="AK20" s="119"/>
      <c r="AL20" s="102"/>
      <c r="AM20" s="108"/>
      <c r="AN20" s="102"/>
      <c r="AO20" s="102"/>
      <c r="AP20" s="102">
        <f t="shared" si="8"/>
        <v>0</v>
      </c>
      <c r="AQ20" s="109">
        <f>(SUM(S20,X20,AA20,AD20,AG20,AJ20,AM20,AP20)/31)*31</f>
        <v>0</v>
      </c>
      <c r="AR20" s="110">
        <f t="shared" si="9"/>
        <v>0</v>
      </c>
      <c r="AS20" s="111"/>
      <c r="AT20" s="118"/>
      <c r="AU20" s="113" t="str">
        <f t="shared" si="10"/>
        <v>Trống</v>
      </c>
      <c r="AV20" s="114">
        <f t="shared" si="2"/>
        <v>0</v>
      </c>
      <c r="AW20" s="115"/>
      <c r="AX20" s="116"/>
      <c r="AY20" s="111"/>
      <c r="AZ20" s="111"/>
      <c r="BA20" s="111"/>
      <c r="BB20" s="111"/>
      <c r="BC20" s="111"/>
      <c r="BD20" s="111"/>
      <c r="BE20" s="111"/>
      <c r="BF20" s="111"/>
      <c r="BG20" s="111"/>
      <c r="BH20" s="116"/>
      <c r="BI20" s="111"/>
      <c r="BJ20" s="111"/>
      <c r="BK20" s="111"/>
      <c r="BL20" s="111"/>
      <c r="BM20" s="111"/>
      <c r="BN20" s="111"/>
      <c r="BO20" s="117"/>
      <c r="BP20" s="111"/>
      <c r="BQ20" s="117"/>
      <c r="BR20" s="111"/>
      <c r="BS20" s="111"/>
      <c r="BT20" s="111"/>
      <c r="BU20" s="111"/>
      <c r="BV20" s="111"/>
      <c r="BW20" s="111"/>
      <c r="BX20" s="111"/>
      <c r="BY20" s="111"/>
      <c r="BZ20" s="111"/>
      <c r="CA20" s="111"/>
      <c r="CB20" s="111"/>
      <c r="CC20" s="111"/>
    </row>
    <row r="21" spans="1:81" ht="21" customHeight="1">
      <c r="A21" s="101"/>
      <c r="B21" s="101"/>
      <c r="C21" s="102"/>
      <c r="D21" s="102" t="s">
        <v>145</v>
      </c>
      <c r="E21" s="102">
        <v>1</v>
      </c>
      <c r="F21" s="103"/>
      <c r="G21" s="120"/>
      <c r="H21" s="120"/>
      <c r="I21" s="120"/>
      <c r="J21" s="120">
        <v>30</v>
      </c>
      <c r="K21" s="102">
        <v>30</v>
      </c>
      <c r="L21" s="105"/>
      <c r="M21" s="106"/>
      <c r="N21" s="119"/>
      <c r="O21" s="102"/>
      <c r="P21" s="102"/>
      <c r="Q21" s="102"/>
      <c r="R21" s="102">
        <v>4000</v>
      </c>
      <c r="S21" s="106"/>
      <c r="T21" s="102"/>
      <c r="U21" s="102"/>
      <c r="V21" s="107"/>
      <c r="W21" s="102">
        <v>35000</v>
      </c>
      <c r="X21" s="102">
        <f t="shared" si="5"/>
        <v>0</v>
      </c>
      <c r="Y21" s="119"/>
      <c r="Z21" s="102"/>
      <c r="AA21" s="102"/>
      <c r="AB21" s="101"/>
      <c r="AC21" s="102">
        <v>100000</v>
      </c>
      <c r="AD21" s="102">
        <f t="shared" si="6"/>
        <v>0</v>
      </c>
      <c r="AE21" s="102"/>
      <c r="AF21" s="102">
        <v>50000</v>
      </c>
      <c r="AG21" s="102">
        <f t="shared" si="7"/>
        <v>0</v>
      </c>
      <c r="AH21" s="102"/>
      <c r="AI21" s="102"/>
      <c r="AJ21" s="102"/>
      <c r="AK21" s="119"/>
      <c r="AL21" s="102"/>
      <c r="AM21" s="108"/>
      <c r="AN21" s="102"/>
      <c r="AO21" s="102"/>
      <c r="AP21" s="102">
        <f t="shared" si="8"/>
        <v>0</v>
      </c>
      <c r="AQ21" s="109">
        <f>(SUM(S21,X21,AA21,AD21,AG21,AJ21,AM21,AP21)/31)*31</f>
        <v>0</v>
      </c>
      <c r="AR21" s="110">
        <f t="shared" si="9"/>
        <v>0</v>
      </c>
      <c r="AS21" s="111"/>
      <c r="AT21" s="118"/>
      <c r="AU21" s="113" t="str">
        <f t="shared" si="10"/>
        <v>Trống</v>
      </c>
      <c r="AV21" s="114">
        <f t="shared" si="2"/>
        <v>0</v>
      </c>
      <c r="AW21" s="115"/>
      <c r="AX21" s="116"/>
      <c r="AY21" s="111"/>
      <c r="AZ21" s="111"/>
      <c r="BA21" s="111"/>
      <c r="BB21" s="111"/>
      <c r="BC21" s="111"/>
      <c r="BD21" s="111"/>
      <c r="BE21" s="111"/>
      <c r="BF21" s="111"/>
      <c r="BG21" s="111"/>
      <c r="BH21" s="116"/>
      <c r="BI21" s="111"/>
      <c r="BJ21" s="111"/>
      <c r="BK21" s="111"/>
      <c r="BL21" s="111"/>
      <c r="BM21" s="111"/>
      <c r="BN21" s="111"/>
      <c r="BO21" s="117"/>
      <c r="BP21" s="111"/>
      <c r="BQ21" s="117"/>
      <c r="BR21" s="111"/>
      <c r="BS21" s="111"/>
      <c r="BT21" s="111"/>
      <c r="BU21" s="111"/>
      <c r="BV21" s="111"/>
      <c r="BW21" s="111"/>
      <c r="BX21" s="111"/>
      <c r="BY21" s="111"/>
      <c r="BZ21" s="111"/>
      <c r="CA21" s="111"/>
      <c r="CB21" s="111"/>
      <c r="CC21" s="111"/>
    </row>
    <row r="22" spans="1:81" ht="16.5" customHeight="1">
      <c r="A22" s="101"/>
      <c r="B22" s="101"/>
      <c r="C22" s="102"/>
      <c r="D22" s="102" t="s">
        <v>145</v>
      </c>
      <c r="E22" s="102">
        <v>1</v>
      </c>
      <c r="F22" s="103"/>
      <c r="G22" s="120"/>
      <c r="H22" s="120"/>
      <c r="I22" s="120"/>
      <c r="J22" s="102">
        <v>30</v>
      </c>
      <c r="K22" s="102">
        <v>30</v>
      </c>
      <c r="L22" s="105"/>
      <c r="M22" s="106"/>
      <c r="N22" s="119"/>
      <c r="O22" s="102"/>
      <c r="P22" s="102"/>
      <c r="Q22" s="102"/>
      <c r="R22" s="102">
        <v>4000</v>
      </c>
      <c r="S22" s="106"/>
      <c r="T22" s="102"/>
      <c r="U22" s="102"/>
      <c r="V22" s="119"/>
      <c r="W22" s="102">
        <v>35000</v>
      </c>
      <c r="X22" s="102">
        <f t="shared" si="5"/>
        <v>0</v>
      </c>
      <c r="Y22" s="119"/>
      <c r="Z22" s="102"/>
      <c r="AA22" s="102"/>
      <c r="AB22" s="101"/>
      <c r="AC22" s="102">
        <v>100000</v>
      </c>
      <c r="AD22" s="102">
        <f t="shared" si="6"/>
        <v>0</v>
      </c>
      <c r="AE22" s="102"/>
      <c r="AF22" s="102">
        <v>50000</v>
      </c>
      <c r="AG22" s="102">
        <f t="shared" si="7"/>
        <v>0</v>
      </c>
      <c r="AH22" s="102"/>
      <c r="AI22" s="102"/>
      <c r="AJ22" s="102"/>
      <c r="AK22" s="119"/>
      <c r="AL22" s="102"/>
      <c r="AM22" s="108"/>
      <c r="AN22" s="102"/>
      <c r="AO22" s="102"/>
      <c r="AP22" s="102">
        <f t="shared" si="8"/>
        <v>0</v>
      </c>
      <c r="AQ22" s="109">
        <f>(SUM(S22,X22,AA22,AD22,AG22,AJ22,AM22,AP22))</f>
        <v>0</v>
      </c>
      <c r="AR22" s="110">
        <f t="shared" si="9"/>
        <v>0</v>
      </c>
      <c r="AS22" s="111"/>
      <c r="AT22" s="118"/>
      <c r="AU22" s="113" t="str">
        <f t="shared" si="10"/>
        <v>Trống</v>
      </c>
      <c r="AV22" s="114">
        <f t="shared" si="2"/>
        <v>0</v>
      </c>
      <c r="AW22" s="115"/>
      <c r="AX22" s="116"/>
      <c r="AY22" s="111"/>
      <c r="AZ22" s="111"/>
      <c r="BA22" s="111"/>
      <c r="BB22" s="111"/>
      <c r="BC22" s="111"/>
      <c r="BD22" s="111"/>
      <c r="BE22" s="111"/>
      <c r="BF22" s="111"/>
      <c r="BG22" s="111"/>
      <c r="BH22" s="116"/>
      <c r="BI22" s="111"/>
      <c r="BJ22" s="111"/>
      <c r="BK22" s="111"/>
      <c r="BL22" s="111"/>
      <c r="BM22" s="111"/>
      <c r="BN22" s="111"/>
      <c r="BO22" s="117"/>
      <c r="BP22" s="111"/>
      <c r="BQ22" s="117"/>
      <c r="BR22" s="111"/>
      <c r="BS22" s="111"/>
      <c r="BT22" s="111"/>
      <c r="BU22" s="111"/>
      <c r="BV22" s="111"/>
      <c r="BW22" s="111"/>
      <c r="BX22" s="111"/>
      <c r="BY22" s="111"/>
      <c r="BZ22" s="111"/>
      <c r="CA22" s="111"/>
      <c r="CB22" s="111"/>
      <c r="CC22" s="111"/>
    </row>
    <row r="23" spans="1:81" ht="18.75" customHeight="1">
      <c r="A23" s="101"/>
      <c r="B23" s="101"/>
      <c r="C23" s="102"/>
      <c r="D23" s="102" t="s">
        <v>145</v>
      </c>
      <c r="E23" s="102">
        <v>1</v>
      </c>
      <c r="F23" s="103"/>
      <c r="G23" s="120"/>
      <c r="H23" s="120"/>
      <c r="I23" s="120"/>
      <c r="J23" s="102">
        <v>30</v>
      </c>
      <c r="K23" s="102">
        <v>30</v>
      </c>
      <c r="L23" s="105"/>
      <c r="M23" s="106"/>
      <c r="N23" s="119"/>
      <c r="O23" s="102"/>
      <c r="P23" s="102"/>
      <c r="Q23" s="102">
        <f t="shared" ref="Q23:Q126" si="11">P23-O23</f>
        <v>0</v>
      </c>
      <c r="R23" s="102">
        <v>4000</v>
      </c>
      <c r="S23" s="106">
        <f t="shared" ref="S23:S126" si="12">Q23*R23</f>
        <v>0</v>
      </c>
      <c r="T23" s="102"/>
      <c r="U23" s="102"/>
      <c r="V23" s="119"/>
      <c r="W23" s="102">
        <v>35000</v>
      </c>
      <c r="X23" s="102">
        <f t="shared" si="5"/>
        <v>0</v>
      </c>
      <c r="Y23" s="119"/>
      <c r="Z23" s="102">
        <v>30000</v>
      </c>
      <c r="AA23" s="102">
        <f t="shared" ref="AA23:AA144" si="13">Y23*Z23</f>
        <v>0</v>
      </c>
      <c r="AB23" s="101"/>
      <c r="AC23" s="102">
        <v>100000</v>
      </c>
      <c r="AD23" s="102">
        <f t="shared" ref="AD23:AD78" si="14">AC23*AB23</f>
        <v>0</v>
      </c>
      <c r="AE23" s="102"/>
      <c r="AF23" s="102">
        <v>50000</v>
      </c>
      <c r="AG23" s="102">
        <f t="shared" si="7"/>
        <v>0</v>
      </c>
      <c r="AH23" s="102"/>
      <c r="AI23" s="102"/>
      <c r="AJ23" s="102"/>
      <c r="AK23" s="119"/>
      <c r="AL23" s="102"/>
      <c r="AM23" s="108"/>
      <c r="AN23" s="102"/>
      <c r="AO23" s="102"/>
      <c r="AP23" s="102">
        <f t="shared" si="8"/>
        <v>0</v>
      </c>
      <c r="AQ23" s="109">
        <f>((SUM(S23,X23,AA23,AD23,AG23,AJ23,AM23,AP23)/30)*21)</f>
        <v>0</v>
      </c>
      <c r="AR23" s="110">
        <f t="shared" si="9"/>
        <v>0</v>
      </c>
      <c r="AS23" s="111"/>
      <c r="AT23" s="118"/>
      <c r="AU23" s="113" t="str">
        <f t="shared" si="10"/>
        <v>Trống</v>
      </c>
      <c r="AV23" s="114">
        <f t="shared" si="2"/>
        <v>0</v>
      </c>
      <c r="AW23" s="115"/>
      <c r="AX23" s="116"/>
      <c r="AY23" s="111"/>
      <c r="AZ23" s="111"/>
      <c r="BA23" s="111"/>
      <c r="BB23" s="111"/>
      <c r="BC23" s="111"/>
      <c r="BD23" s="111"/>
      <c r="BE23" s="111"/>
      <c r="BF23" s="111"/>
      <c r="BG23" s="111"/>
      <c r="BH23" s="116"/>
      <c r="BI23" s="111"/>
      <c r="BJ23" s="111"/>
      <c r="BK23" s="111"/>
      <c r="BL23" s="111"/>
      <c r="BM23" s="111"/>
      <c r="BN23" s="111"/>
      <c r="BO23" s="117"/>
      <c r="BP23" s="111"/>
      <c r="BQ23" s="117"/>
      <c r="BR23" s="111"/>
      <c r="BS23" s="111"/>
      <c r="BT23" s="111"/>
      <c r="BU23" s="111"/>
      <c r="BV23" s="111"/>
      <c r="BW23" s="111"/>
      <c r="BX23" s="111"/>
      <c r="BY23" s="111"/>
      <c r="BZ23" s="111"/>
      <c r="CA23" s="111"/>
      <c r="CB23" s="111"/>
      <c r="CC23" s="111"/>
    </row>
    <row r="24" spans="1:81" ht="22.5" customHeight="1">
      <c r="A24" s="101"/>
      <c r="B24" s="101"/>
      <c r="C24" s="102"/>
      <c r="D24" s="102" t="s">
        <v>145</v>
      </c>
      <c r="E24" s="102">
        <v>1</v>
      </c>
      <c r="F24" s="103"/>
      <c r="G24" s="120"/>
      <c r="H24" s="120"/>
      <c r="I24" s="120"/>
      <c r="J24" s="111">
        <v>30</v>
      </c>
      <c r="K24" s="111">
        <v>30</v>
      </c>
      <c r="L24" s="122"/>
      <c r="M24" s="116"/>
      <c r="N24" s="123"/>
      <c r="O24" s="111"/>
      <c r="P24" s="111"/>
      <c r="Q24" s="111">
        <f t="shared" si="11"/>
        <v>0</v>
      </c>
      <c r="R24" s="102">
        <v>4000</v>
      </c>
      <c r="S24" s="116">
        <f t="shared" si="12"/>
        <v>0</v>
      </c>
      <c r="T24" s="111"/>
      <c r="U24" s="111"/>
      <c r="V24" s="123"/>
      <c r="W24" s="102">
        <v>35000</v>
      </c>
      <c r="X24" s="111">
        <f t="shared" si="5"/>
        <v>0</v>
      </c>
      <c r="Y24" s="123"/>
      <c r="Z24" s="111">
        <v>30000</v>
      </c>
      <c r="AA24" s="111">
        <f t="shared" si="13"/>
        <v>0</v>
      </c>
      <c r="AB24" s="124"/>
      <c r="AC24" s="111">
        <v>100000</v>
      </c>
      <c r="AD24" s="111">
        <f t="shared" si="14"/>
        <v>0</v>
      </c>
      <c r="AE24" s="111"/>
      <c r="AF24" s="111">
        <v>50000</v>
      </c>
      <c r="AG24" s="111">
        <f t="shared" si="7"/>
        <v>0</v>
      </c>
      <c r="AH24" s="111"/>
      <c r="AI24" s="111"/>
      <c r="AJ24" s="111"/>
      <c r="AK24" s="123"/>
      <c r="AL24" s="111"/>
      <c r="AM24" s="125"/>
      <c r="AN24" s="111"/>
      <c r="AO24" s="111"/>
      <c r="AP24" s="111">
        <f t="shared" si="8"/>
        <v>0</v>
      </c>
      <c r="AQ24" s="109">
        <f>(SUM(S24,X24,AA24,AD24,AG24,AJ24,AM24,AP24)/30)*19</f>
        <v>0</v>
      </c>
      <c r="AR24" s="110">
        <f t="shared" si="9"/>
        <v>0</v>
      </c>
      <c r="AS24" s="111"/>
      <c r="AT24" s="118"/>
      <c r="AU24" s="113" t="str">
        <f t="shared" si="10"/>
        <v>Trống</v>
      </c>
      <c r="AV24" s="114">
        <f t="shared" si="2"/>
        <v>0</v>
      </c>
      <c r="AW24" s="115"/>
      <c r="AX24" s="116"/>
      <c r="AY24" s="111"/>
      <c r="AZ24" s="111"/>
      <c r="BA24" s="111"/>
      <c r="BB24" s="111"/>
      <c r="BC24" s="111"/>
      <c r="BD24" s="111"/>
      <c r="BE24" s="111"/>
      <c r="BF24" s="111"/>
      <c r="BG24" s="111"/>
      <c r="BH24" s="116"/>
      <c r="BI24" s="111"/>
      <c r="BJ24" s="111"/>
      <c r="BK24" s="111"/>
      <c r="BL24" s="111"/>
      <c r="BM24" s="111"/>
      <c r="BN24" s="111"/>
      <c r="BO24" s="117"/>
      <c r="BP24" s="111"/>
      <c r="BQ24" s="117"/>
      <c r="BR24" s="111"/>
      <c r="BS24" s="111"/>
      <c r="BT24" s="111"/>
      <c r="BU24" s="111"/>
      <c r="BV24" s="111"/>
      <c r="BW24" s="111"/>
      <c r="BX24" s="111"/>
      <c r="BY24" s="111"/>
      <c r="BZ24" s="111"/>
      <c r="CA24" s="111"/>
      <c r="CB24" s="111"/>
      <c r="CC24" s="111"/>
    </row>
    <row r="25" spans="1:81" ht="19.5" customHeight="1">
      <c r="A25" s="101"/>
      <c r="B25" s="101"/>
      <c r="C25" s="102"/>
      <c r="D25" s="102" t="s">
        <v>145</v>
      </c>
      <c r="E25" s="102">
        <v>1</v>
      </c>
      <c r="F25" s="103"/>
      <c r="G25" s="120"/>
      <c r="H25" s="120"/>
      <c r="I25" s="120"/>
      <c r="J25" s="111">
        <v>30</v>
      </c>
      <c r="K25" s="111">
        <v>30</v>
      </c>
      <c r="L25" s="122"/>
      <c r="M25" s="116"/>
      <c r="N25" s="123"/>
      <c r="O25" s="111"/>
      <c r="P25" s="111"/>
      <c r="Q25" s="111">
        <f t="shared" si="11"/>
        <v>0</v>
      </c>
      <c r="R25" s="102">
        <v>4000</v>
      </c>
      <c r="S25" s="116">
        <f t="shared" si="12"/>
        <v>0</v>
      </c>
      <c r="T25" s="111"/>
      <c r="U25" s="111"/>
      <c r="V25" s="123"/>
      <c r="W25" s="102">
        <v>35000</v>
      </c>
      <c r="X25" s="111">
        <f t="shared" si="5"/>
        <v>0</v>
      </c>
      <c r="Y25" s="123"/>
      <c r="Z25" s="111">
        <v>30000</v>
      </c>
      <c r="AA25" s="111">
        <f t="shared" si="13"/>
        <v>0</v>
      </c>
      <c r="AB25" s="124"/>
      <c r="AC25" s="111">
        <v>100000</v>
      </c>
      <c r="AD25" s="111">
        <f t="shared" si="14"/>
        <v>0</v>
      </c>
      <c r="AE25" s="111"/>
      <c r="AF25" s="111">
        <v>50000</v>
      </c>
      <c r="AG25" s="111">
        <f t="shared" si="7"/>
        <v>0</v>
      </c>
      <c r="AH25" s="111"/>
      <c r="AI25" s="111"/>
      <c r="AJ25" s="111"/>
      <c r="AK25" s="123"/>
      <c r="AL25" s="111"/>
      <c r="AM25" s="125"/>
      <c r="AN25" s="111"/>
      <c r="AO25" s="111"/>
      <c r="AP25" s="111">
        <f t="shared" si="8"/>
        <v>0</v>
      </c>
      <c r="AQ25" s="109">
        <f>(SUM(S25,X25,AA25,AD25,AG25,AJ25,AM25,AP25)/30)*26</f>
        <v>0</v>
      </c>
      <c r="AR25" s="110">
        <f t="shared" si="9"/>
        <v>0</v>
      </c>
      <c r="AS25" s="111"/>
      <c r="AT25" s="118"/>
      <c r="AU25" s="113" t="str">
        <f t="shared" si="10"/>
        <v>Trống</v>
      </c>
      <c r="AV25" s="114">
        <f t="shared" si="2"/>
        <v>0</v>
      </c>
      <c r="AW25" s="115"/>
      <c r="AX25" s="116"/>
      <c r="AY25" s="111"/>
      <c r="AZ25" s="111"/>
      <c r="BA25" s="111"/>
      <c r="BB25" s="111"/>
      <c r="BC25" s="111"/>
      <c r="BD25" s="111"/>
      <c r="BE25" s="111"/>
      <c r="BF25" s="111"/>
      <c r="BG25" s="111"/>
      <c r="BH25" s="116"/>
      <c r="BI25" s="111"/>
      <c r="BJ25" s="111"/>
      <c r="BK25" s="111"/>
      <c r="BL25" s="111"/>
      <c r="BM25" s="111"/>
      <c r="BN25" s="111"/>
      <c r="BO25" s="117"/>
      <c r="BP25" s="111"/>
      <c r="BQ25" s="117"/>
      <c r="BR25" s="111"/>
      <c r="BS25" s="111"/>
      <c r="BT25" s="111"/>
      <c r="BU25" s="111"/>
      <c r="BV25" s="111"/>
      <c r="BW25" s="111"/>
      <c r="BX25" s="111"/>
      <c r="BY25" s="111"/>
      <c r="BZ25" s="111"/>
      <c r="CA25" s="111"/>
      <c r="CB25" s="111"/>
      <c r="CC25" s="111"/>
    </row>
    <row r="26" spans="1:81" ht="21.75" customHeight="1">
      <c r="A26" s="101"/>
      <c r="B26" s="101"/>
      <c r="C26" s="102"/>
      <c r="D26" s="102" t="s">
        <v>145</v>
      </c>
      <c r="E26" s="102">
        <v>1</v>
      </c>
      <c r="F26" s="103"/>
      <c r="G26" s="120"/>
      <c r="H26" s="120"/>
      <c r="I26" s="120"/>
      <c r="J26" s="111">
        <v>30</v>
      </c>
      <c r="K26" s="111">
        <v>30</v>
      </c>
      <c r="L26" s="122"/>
      <c r="M26" s="116"/>
      <c r="N26" s="123"/>
      <c r="O26" s="111"/>
      <c r="P26" s="111"/>
      <c r="Q26" s="111">
        <f t="shared" si="11"/>
        <v>0</v>
      </c>
      <c r="R26" s="102">
        <v>4000</v>
      </c>
      <c r="S26" s="116">
        <f t="shared" si="12"/>
        <v>0</v>
      </c>
      <c r="T26" s="111"/>
      <c r="U26" s="111"/>
      <c r="V26" s="123"/>
      <c r="W26" s="102">
        <v>35000</v>
      </c>
      <c r="X26" s="111">
        <f t="shared" si="5"/>
        <v>0</v>
      </c>
      <c r="Y26" s="123"/>
      <c r="Z26" s="111">
        <v>30000</v>
      </c>
      <c r="AA26" s="111">
        <f t="shared" si="13"/>
        <v>0</v>
      </c>
      <c r="AB26" s="124"/>
      <c r="AC26" s="111">
        <v>100000</v>
      </c>
      <c r="AD26" s="111">
        <f t="shared" si="14"/>
        <v>0</v>
      </c>
      <c r="AE26" s="111"/>
      <c r="AF26" s="111">
        <v>50000</v>
      </c>
      <c r="AG26" s="111">
        <f t="shared" si="7"/>
        <v>0</v>
      </c>
      <c r="AH26" s="111"/>
      <c r="AI26" s="111"/>
      <c r="AJ26" s="111"/>
      <c r="AK26" s="123"/>
      <c r="AL26" s="111"/>
      <c r="AM26" s="125"/>
      <c r="AN26" s="111"/>
      <c r="AO26" s="111"/>
      <c r="AP26" s="111"/>
      <c r="AQ26" s="109">
        <f>(SUM(S26,X26,AA26,AD26,AG26,AJ26,AM26,AP26))</f>
        <v>0</v>
      </c>
      <c r="AR26" s="110">
        <f t="shared" si="9"/>
        <v>0</v>
      </c>
      <c r="AS26" s="111"/>
      <c r="AT26" s="118"/>
      <c r="AU26" s="113" t="str">
        <f t="shared" si="10"/>
        <v>Trống</v>
      </c>
      <c r="AV26" s="114">
        <f t="shared" si="2"/>
        <v>0</v>
      </c>
      <c r="AW26" s="115"/>
      <c r="AX26" s="116"/>
      <c r="AY26" s="111"/>
      <c r="AZ26" s="111"/>
      <c r="BA26" s="111"/>
      <c r="BB26" s="111"/>
      <c r="BC26" s="111"/>
      <c r="BD26" s="111"/>
      <c r="BE26" s="111"/>
      <c r="BF26" s="111"/>
      <c r="BG26" s="111"/>
      <c r="BH26" s="116"/>
      <c r="BI26" s="111"/>
      <c r="BJ26" s="111"/>
      <c r="BK26" s="111"/>
      <c r="BL26" s="111"/>
      <c r="BM26" s="111"/>
      <c r="BN26" s="111"/>
      <c r="BO26" s="117"/>
      <c r="BP26" s="111"/>
      <c r="BQ26" s="117"/>
      <c r="BR26" s="111"/>
      <c r="BS26" s="111"/>
      <c r="BT26" s="111"/>
      <c r="BU26" s="111"/>
      <c r="BV26" s="111"/>
      <c r="BW26" s="111"/>
      <c r="BX26" s="111"/>
      <c r="BY26" s="111"/>
      <c r="BZ26" s="111"/>
      <c r="CA26" s="111"/>
      <c r="CB26" s="111"/>
      <c r="CC26" s="111"/>
    </row>
    <row r="27" spans="1:81" ht="18" customHeight="1">
      <c r="A27" s="101"/>
      <c r="B27" s="101"/>
      <c r="C27" s="102"/>
      <c r="D27" s="102" t="s">
        <v>145</v>
      </c>
      <c r="E27" s="102">
        <v>1</v>
      </c>
      <c r="F27" s="103"/>
      <c r="G27" s="106"/>
      <c r="H27" s="106"/>
      <c r="I27" s="106"/>
      <c r="J27" s="111">
        <v>30</v>
      </c>
      <c r="K27" s="111">
        <v>30</v>
      </c>
      <c r="L27" s="122"/>
      <c r="M27" s="116"/>
      <c r="N27" s="124"/>
      <c r="O27" s="111"/>
      <c r="P27" s="111"/>
      <c r="Q27" s="111">
        <f t="shared" si="11"/>
        <v>0</v>
      </c>
      <c r="R27" s="102">
        <v>4000</v>
      </c>
      <c r="S27" s="116">
        <f t="shared" si="12"/>
        <v>0</v>
      </c>
      <c r="T27" s="111"/>
      <c r="U27" s="111"/>
      <c r="V27" s="124"/>
      <c r="W27" s="111"/>
      <c r="X27" s="111">
        <f t="shared" si="5"/>
        <v>0</v>
      </c>
      <c r="Y27" s="124"/>
      <c r="Z27" s="111">
        <v>30000</v>
      </c>
      <c r="AA27" s="111">
        <f t="shared" si="13"/>
        <v>0</v>
      </c>
      <c r="AB27" s="111"/>
      <c r="AC27" s="111">
        <v>100000</v>
      </c>
      <c r="AD27" s="111">
        <f t="shared" si="14"/>
        <v>0</v>
      </c>
      <c r="AE27" s="111"/>
      <c r="AF27" s="111">
        <v>50000</v>
      </c>
      <c r="AG27" s="111">
        <f t="shared" si="7"/>
        <v>0</v>
      </c>
      <c r="AH27" s="111"/>
      <c r="AI27" s="111"/>
      <c r="AJ27" s="111"/>
      <c r="AK27" s="124"/>
      <c r="AL27" s="111"/>
      <c r="AM27" s="125"/>
      <c r="AN27" s="111"/>
      <c r="AO27" s="111"/>
      <c r="AP27" s="111"/>
      <c r="AQ27" s="109">
        <f>(SUM(S27,X27,AA27,AD27,AG27,AJ27,AM27,AP27)/31)*14</f>
        <v>0</v>
      </c>
      <c r="AR27" s="110">
        <f t="shared" si="9"/>
        <v>0</v>
      </c>
      <c r="AS27" s="111"/>
      <c r="AT27" s="118"/>
      <c r="AU27" s="113" t="str">
        <f t="shared" si="10"/>
        <v>Trống</v>
      </c>
      <c r="AV27" s="114">
        <f t="shared" si="2"/>
        <v>0</v>
      </c>
      <c r="AW27" s="115"/>
      <c r="AX27" s="116"/>
      <c r="AY27" s="111"/>
      <c r="AZ27" s="111"/>
      <c r="BA27" s="111"/>
      <c r="BB27" s="111"/>
      <c r="BC27" s="111"/>
      <c r="BD27" s="111"/>
      <c r="BE27" s="111"/>
      <c r="BF27" s="111"/>
      <c r="BG27" s="111"/>
      <c r="BH27" s="116"/>
      <c r="BI27" s="111"/>
      <c r="BJ27" s="111"/>
      <c r="BK27" s="111"/>
      <c r="BL27" s="111"/>
      <c r="BM27" s="111"/>
      <c r="BN27" s="111"/>
      <c r="BO27" s="117"/>
      <c r="BP27" s="111"/>
      <c r="BQ27" s="117"/>
      <c r="BR27" s="111"/>
      <c r="BS27" s="111"/>
      <c r="BT27" s="111"/>
      <c r="BU27" s="111"/>
      <c r="BV27" s="111"/>
      <c r="BW27" s="111"/>
      <c r="BX27" s="111"/>
      <c r="BY27" s="111"/>
      <c r="BZ27" s="111"/>
      <c r="CA27" s="111"/>
      <c r="CB27" s="111"/>
      <c r="CC27" s="111"/>
    </row>
    <row r="28" spans="1:81" ht="16.5" customHeight="1">
      <c r="A28" s="101"/>
      <c r="B28" s="101"/>
      <c r="C28" s="102"/>
      <c r="D28" s="102" t="s">
        <v>145</v>
      </c>
      <c r="E28" s="102">
        <v>1</v>
      </c>
      <c r="F28" s="103"/>
      <c r="G28" s="106"/>
      <c r="H28" s="106"/>
      <c r="I28" s="106"/>
      <c r="J28" s="111">
        <v>30</v>
      </c>
      <c r="K28" s="111">
        <v>30</v>
      </c>
      <c r="L28" s="122"/>
      <c r="M28" s="116"/>
      <c r="N28" s="124"/>
      <c r="O28" s="111"/>
      <c r="P28" s="111"/>
      <c r="Q28" s="111">
        <f t="shared" si="11"/>
        <v>0</v>
      </c>
      <c r="R28" s="102">
        <v>4000</v>
      </c>
      <c r="S28" s="116">
        <f t="shared" si="12"/>
        <v>0</v>
      </c>
      <c r="T28" s="111"/>
      <c r="U28" s="111"/>
      <c r="V28" s="124"/>
      <c r="W28" s="111"/>
      <c r="X28" s="111">
        <f t="shared" si="5"/>
        <v>0</v>
      </c>
      <c r="Y28" s="124"/>
      <c r="Z28" s="111">
        <v>30000</v>
      </c>
      <c r="AA28" s="111">
        <f t="shared" si="13"/>
        <v>0</v>
      </c>
      <c r="AB28" s="111"/>
      <c r="AC28" s="111">
        <v>100000</v>
      </c>
      <c r="AD28" s="111">
        <f t="shared" si="14"/>
        <v>0</v>
      </c>
      <c r="AE28" s="111"/>
      <c r="AF28" s="111"/>
      <c r="AG28" s="111"/>
      <c r="AH28" s="111"/>
      <c r="AI28" s="111"/>
      <c r="AJ28" s="111"/>
      <c r="AK28" s="124"/>
      <c r="AL28" s="111"/>
      <c r="AM28" s="125"/>
      <c r="AN28" s="111"/>
      <c r="AO28" s="111"/>
      <c r="AP28" s="111">
        <f>AN28*AO28</f>
        <v>0</v>
      </c>
      <c r="AQ28" s="109">
        <f>(SUM(S28,X28,AA28,AD28,AG28,AJ28,AM28,AP28)/31)*16</f>
        <v>0</v>
      </c>
      <c r="AR28" s="110">
        <f t="shared" si="9"/>
        <v>0</v>
      </c>
      <c r="AS28" s="111"/>
      <c r="AT28" s="118"/>
      <c r="AU28" s="113" t="str">
        <f t="shared" si="10"/>
        <v>Trống</v>
      </c>
      <c r="AV28" s="114">
        <f t="shared" si="2"/>
        <v>0</v>
      </c>
      <c r="AW28" s="115"/>
      <c r="AX28" s="116"/>
      <c r="AY28" s="111"/>
      <c r="AZ28" s="111"/>
      <c r="BA28" s="111"/>
      <c r="BB28" s="111"/>
      <c r="BC28" s="111"/>
      <c r="BD28" s="111"/>
      <c r="BE28" s="111"/>
      <c r="BF28" s="111"/>
      <c r="BG28" s="111"/>
      <c r="BH28" s="116"/>
      <c r="BI28" s="111"/>
      <c r="BJ28" s="111"/>
      <c r="BK28" s="111"/>
      <c r="BL28" s="111"/>
      <c r="BM28" s="111"/>
      <c r="BN28" s="111"/>
      <c r="BO28" s="117"/>
      <c r="BP28" s="111"/>
      <c r="BQ28" s="117"/>
      <c r="BR28" s="111"/>
      <c r="BS28" s="111"/>
      <c r="BT28" s="111"/>
      <c r="BU28" s="111"/>
      <c r="BV28" s="111"/>
      <c r="BW28" s="111"/>
      <c r="BX28" s="111"/>
      <c r="BY28" s="111"/>
      <c r="BZ28" s="111"/>
      <c r="CA28" s="111"/>
      <c r="CB28" s="111"/>
      <c r="CC28" s="111"/>
    </row>
    <row r="29" spans="1:81" ht="21" customHeight="1">
      <c r="A29" s="101"/>
      <c r="B29" s="101"/>
      <c r="C29" s="102"/>
      <c r="D29" s="102" t="s">
        <v>145</v>
      </c>
      <c r="E29" s="102">
        <v>1</v>
      </c>
      <c r="F29" s="116"/>
      <c r="G29" s="106"/>
      <c r="H29" s="106"/>
      <c r="I29" s="106"/>
      <c r="J29" s="111">
        <v>30</v>
      </c>
      <c r="K29" s="111">
        <v>30</v>
      </c>
      <c r="L29" s="122"/>
      <c r="M29" s="116"/>
      <c r="N29" s="124"/>
      <c r="O29" s="111"/>
      <c r="P29" s="111"/>
      <c r="Q29" s="111">
        <f t="shared" si="11"/>
        <v>0</v>
      </c>
      <c r="R29" s="102">
        <v>4000</v>
      </c>
      <c r="S29" s="116">
        <f t="shared" si="12"/>
        <v>0</v>
      </c>
      <c r="T29" s="111"/>
      <c r="U29" s="111"/>
      <c r="V29" s="124"/>
      <c r="W29" s="111"/>
      <c r="X29" s="111">
        <f t="shared" si="5"/>
        <v>0</v>
      </c>
      <c r="Y29" s="124"/>
      <c r="Z29" s="111">
        <v>30000</v>
      </c>
      <c r="AA29" s="111">
        <f t="shared" si="13"/>
        <v>0</v>
      </c>
      <c r="AB29" s="111"/>
      <c r="AC29" s="111">
        <v>100000</v>
      </c>
      <c r="AD29" s="111">
        <f t="shared" si="14"/>
        <v>0</v>
      </c>
      <c r="AE29" s="111"/>
      <c r="AF29" s="111"/>
      <c r="AG29" s="111"/>
      <c r="AH29" s="111"/>
      <c r="AI29" s="111"/>
      <c r="AJ29" s="111"/>
      <c r="AK29" s="124"/>
      <c r="AL29" s="111"/>
      <c r="AM29" s="125"/>
      <c r="AN29" s="111"/>
      <c r="AO29" s="111"/>
      <c r="AP29" s="111"/>
      <c r="AQ29" s="109">
        <f>SUM(S29,X29,AA29,AD29,AG29,AJ29,AM29,AP29)</f>
        <v>0</v>
      </c>
      <c r="AR29" s="110">
        <f t="shared" si="9"/>
        <v>0</v>
      </c>
      <c r="AS29" s="111"/>
      <c r="AT29" s="118"/>
      <c r="AU29" s="113" t="str">
        <f t="shared" si="10"/>
        <v>Trống</v>
      </c>
      <c r="AV29" s="114">
        <f t="shared" si="2"/>
        <v>0</v>
      </c>
      <c r="AW29" s="115"/>
      <c r="AX29" s="116"/>
      <c r="AY29" s="111"/>
      <c r="AZ29" s="111"/>
      <c r="BA29" s="111"/>
      <c r="BB29" s="111"/>
      <c r="BC29" s="111"/>
      <c r="BD29" s="111"/>
      <c r="BE29" s="111"/>
      <c r="BF29" s="111"/>
      <c r="BG29" s="111"/>
      <c r="BH29" s="116"/>
      <c r="BI29" s="111"/>
      <c r="BJ29" s="111"/>
      <c r="BK29" s="111"/>
      <c r="BL29" s="111"/>
      <c r="BM29" s="111"/>
      <c r="BN29" s="111"/>
      <c r="BO29" s="117"/>
      <c r="BP29" s="111"/>
      <c r="BQ29" s="117"/>
      <c r="BR29" s="111"/>
      <c r="BS29" s="111"/>
      <c r="BT29" s="111"/>
      <c r="BU29" s="111"/>
      <c r="BV29" s="111"/>
      <c r="BW29" s="111"/>
      <c r="BX29" s="111"/>
      <c r="BY29" s="111"/>
      <c r="BZ29" s="111"/>
      <c r="CA29" s="111"/>
      <c r="CB29" s="111"/>
      <c r="CC29" s="111"/>
    </row>
    <row r="30" spans="1:81" ht="17.25" customHeight="1">
      <c r="A30" s="101"/>
      <c r="B30" s="101"/>
      <c r="C30" s="102"/>
      <c r="D30" s="102" t="s">
        <v>145</v>
      </c>
      <c r="E30" s="102">
        <v>1</v>
      </c>
      <c r="F30" s="116"/>
      <c r="G30" s="106"/>
      <c r="H30" s="106"/>
      <c r="I30" s="106"/>
      <c r="J30" s="111">
        <v>30</v>
      </c>
      <c r="K30" s="111">
        <v>30</v>
      </c>
      <c r="L30" s="122"/>
      <c r="M30" s="116"/>
      <c r="N30" s="124"/>
      <c r="O30" s="111"/>
      <c r="P30" s="111"/>
      <c r="Q30" s="111">
        <f t="shared" si="11"/>
        <v>0</v>
      </c>
      <c r="R30" s="102">
        <v>4000</v>
      </c>
      <c r="S30" s="116">
        <f t="shared" si="12"/>
        <v>0</v>
      </c>
      <c r="T30" s="111"/>
      <c r="U30" s="111"/>
      <c r="V30" s="124"/>
      <c r="W30" s="111"/>
      <c r="X30" s="111">
        <f t="shared" si="5"/>
        <v>0</v>
      </c>
      <c r="Y30" s="124"/>
      <c r="Z30" s="111">
        <v>30000</v>
      </c>
      <c r="AA30" s="111">
        <f t="shared" si="13"/>
        <v>0</v>
      </c>
      <c r="AB30" s="111"/>
      <c r="AC30" s="111">
        <v>100000</v>
      </c>
      <c r="AD30" s="111">
        <f t="shared" si="14"/>
        <v>0</v>
      </c>
      <c r="AE30" s="111"/>
      <c r="AF30" s="111"/>
      <c r="AG30" s="111"/>
      <c r="AH30" s="111"/>
      <c r="AI30" s="111"/>
      <c r="AJ30" s="111"/>
      <c r="AK30" s="124"/>
      <c r="AL30" s="111"/>
      <c r="AM30" s="125"/>
      <c r="AN30" s="111"/>
      <c r="AO30" s="111"/>
      <c r="AP30" s="111">
        <f>AN30*AO30</f>
        <v>0</v>
      </c>
      <c r="AQ30" s="109">
        <f>(SUM(S30,X30,AA30,AD30,AG30,AJ30,AM30,AP30)/31)*15</f>
        <v>0</v>
      </c>
      <c r="AR30" s="110">
        <f t="shared" si="9"/>
        <v>0</v>
      </c>
      <c r="AS30" s="111"/>
      <c r="AT30" s="118"/>
      <c r="AU30" s="113" t="str">
        <f t="shared" si="10"/>
        <v>Trống</v>
      </c>
      <c r="AV30" s="114">
        <f t="shared" si="2"/>
        <v>0</v>
      </c>
      <c r="AW30" s="115"/>
      <c r="AX30" s="116"/>
      <c r="AY30" s="111"/>
      <c r="AZ30" s="111"/>
      <c r="BA30" s="111"/>
      <c r="BB30" s="111"/>
      <c r="BC30" s="111"/>
      <c r="BD30" s="111"/>
      <c r="BE30" s="111"/>
      <c r="BF30" s="111">
        <f>BE30-BD30</f>
        <v>0</v>
      </c>
      <c r="BG30" s="111">
        <v>3800</v>
      </c>
      <c r="BH30" s="116">
        <f>BF30*BG30</f>
        <v>0</v>
      </c>
      <c r="BI30" s="111"/>
      <c r="BJ30" s="111"/>
      <c r="BK30" s="111"/>
      <c r="BL30" s="111"/>
      <c r="BM30" s="111"/>
      <c r="BN30" s="111"/>
      <c r="BO30" s="117"/>
      <c r="BP30" s="111"/>
      <c r="BQ30" s="117"/>
      <c r="BR30" s="111"/>
      <c r="BS30" s="111"/>
      <c r="BT30" s="111"/>
      <c r="BU30" s="111"/>
      <c r="BV30" s="111"/>
      <c r="BW30" s="111"/>
      <c r="BX30" s="111"/>
      <c r="BY30" s="111"/>
      <c r="BZ30" s="111"/>
      <c r="CA30" s="111"/>
      <c r="CB30" s="111"/>
      <c r="CC30" s="111"/>
    </row>
    <row r="31" spans="1:81" ht="15" customHeight="1">
      <c r="A31" s="101"/>
      <c r="B31" s="101"/>
      <c r="C31" s="102"/>
      <c r="D31" s="102" t="s">
        <v>145</v>
      </c>
      <c r="E31" s="102">
        <v>1</v>
      </c>
      <c r="F31" s="116"/>
      <c r="G31" s="106"/>
      <c r="H31" s="106"/>
      <c r="I31" s="106"/>
      <c r="J31" s="111">
        <v>30</v>
      </c>
      <c r="K31" s="111">
        <v>30</v>
      </c>
      <c r="L31" s="122"/>
      <c r="M31" s="116"/>
      <c r="N31" s="124"/>
      <c r="O31" s="111"/>
      <c r="P31" s="111"/>
      <c r="Q31" s="111">
        <f t="shared" si="11"/>
        <v>0</v>
      </c>
      <c r="R31" s="111">
        <v>3800</v>
      </c>
      <c r="S31" s="116">
        <f t="shared" si="12"/>
        <v>0</v>
      </c>
      <c r="T31" s="111"/>
      <c r="U31" s="111"/>
      <c r="V31" s="124"/>
      <c r="W31" s="111"/>
      <c r="X31" s="111">
        <f t="shared" si="5"/>
        <v>0</v>
      </c>
      <c r="Y31" s="124"/>
      <c r="Z31" s="111">
        <v>30000</v>
      </c>
      <c r="AA31" s="111">
        <f t="shared" si="13"/>
        <v>0</v>
      </c>
      <c r="AB31" s="111"/>
      <c r="AC31" s="111">
        <v>100000</v>
      </c>
      <c r="AD31" s="111">
        <f t="shared" si="14"/>
        <v>0</v>
      </c>
      <c r="AE31" s="111"/>
      <c r="AF31" s="111"/>
      <c r="AG31" s="111"/>
      <c r="AH31" s="111"/>
      <c r="AI31" s="111"/>
      <c r="AJ31" s="111"/>
      <c r="AK31" s="124"/>
      <c r="AL31" s="111"/>
      <c r="AM31" s="125"/>
      <c r="AN31" s="111"/>
      <c r="AO31" s="111"/>
      <c r="AP31" s="111">
        <f>AN31*AO31</f>
        <v>0</v>
      </c>
      <c r="AQ31" s="109">
        <f>(SUM(S31,X31,AA31,AD31,AG31,AJ31,AM31,AP31)/31)*21</f>
        <v>0</v>
      </c>
      <c r="AR31" s="110">
        <f t="shared" si="9"/>
        <v>0</v>
      </c>
      <c r="AS31" s="111"/>
      <c r="AT31" s="118"/>
      <c r="AU31" s="113" t="str">
        <f t="shared" si="10"/>
        <v>Trống</v>
      </c>
      <c r="AV31" s="114">
        <f t="shared" si="2"/>
        <v>0</v>
      </c>
      <c r="AW31" s="115"/>
      <c r="AX31" s="116"/>
      <c r="AY31" s="111"/>
      <c r="AZ31" s="111"/>
      <c r="BA31" s="111"/>
      <c r="BB31" s="111"/>
      <c r="BC31" s="111"/>
      <c r="BD31" s="111"/>
      <c r="BE31" s="111"/>
      <c r="BF31" s="111"/>
      <c r="BG31" s="111"/>
      <c r="BH31" s="116"/>
      <c r="BI31" s="111"/>
      <c r="BJ31" s="111"/>
      <c r="BK31" s="111"/>
      <c r="BL31" s="111"/>
      <c r="BM31" s="111"/>
      <c r="BN31" s="111"/>
      <c r="BO31" s="117"/>
      <c r="BP31" s="111"/>
      <c r="BQ31" s="117"/>
      <c r="BR31" s="111"/>
      <c r="BS31" s="111"/>
      <c r="BT31" s="111"/>
      <c r="BU31" s="111"/>
      <c r="BV31" s="111"/>
      <c r="BW31" s="111"/>
      <c r="BX31" s="111"/>
      <c r="BY31" s="111"/>
      <c r="BZ31" s="111"/>
      <c r="CA31" s="111"/>
      <c r="CB31" s="111"/>
      <c r="CC31" s="111"/>
    </row>
    <row r="32" spans="1:81" ht="16.5" customHeight="1">
      <c r="A32" s="101"/>
      <c r="B32" s="101"/>
      <c r="C32" s="102"/>
      <c r="D32" s="102"/>
      <c r="E32" s="111"/>
      <c r="F32" s="116"/>
      <c r="G32" s="106"/>
      <c r="H32" s="106"/>
      <c r="I32" s="106"/>
      <c r="J32" s="111">
        <v>30</v>
      </c>
      <c r="K32" s="111">
        <v>30</v>
      </c>
      <c r="L32" s="122"/>
      <c r="M32" s="116"/>
      <c r="N32" s="124"/>
      <c r="O32" s="111"/>
      <c r="P32" s="111"/>
      <c r="Q32" s="111">
        <f t="shared" si="11"/>
        <v>0</v>
      </c>
      <c r="R32" s="111">
        <v>3800</v>
      </c>
      <c r="S32" s="116">
        <f t="shared" si="12"/>
        <v>0</v>
      </c>
      <c r="T32" s="111"/>
      <c r="U32" s="111"/>
      <c r="V32" s="124"/>
      <c r="W32" s="111"/>
      <c r="X32" s="111">
        <f t="shared" si="5"/>
        <v>0</v>
      </c>
      <c r="Y32" s="124"/>
      <c r="Z32" s="111">
        <v>30000</v>
      </c>
      <c r="AA32" s="111">
        <f t="shared" si="13"/>
        <v>0</v>
      </c>
      <c r="AB32" s="111"/>
      <c r="AC32" s="111">
        <v>100000</v>
      </c>
      <c r="AD32" s="111">
        <f t="shared" si="14"/>
        <v>0</v>
      </c>
      <c r="AE32" s="111"/>
      <c r="AF32" s="111"/>
      <c r="AG32" s="111"/>
      <c r="AH32" s="111"/>
      <c r="AI32" s="111"/>
      <c r="AJ32" s="111"/>
      <c r="AK32" s="124"/>
      <c r="AL32" s="111"/>
      <c r="AM32" s="125"/>
      <c r="AN32" s="111"/>
      <c r="AO32" s="111"/>
      <c r="AP32" s="111"/>
      <c r="AQ32" s="109">
        <f>SUM(S32,X32,AA32,AD32,AG32,AJ32,AM32,AP32)</f>
        <v>0</v>
      </c>
      <c r="AR32" s="110">
        <f t="shared" si="9"/>
        <v>0</v>
      </c>
      <c r="AS32" s="111"/>
      <c r="AT32" s="118"/>
      <c r="AU32" s="113" t="str">
        <f t="shared" si="10"/>
        <v>Trống</v>
      </c>
      <c r="AV32" s="114">
        <f t="shared" si="2"/>
        <v>0</v>
      </c>
      <c r="AW32" s="115"/>
      <c r="AX32" s="116"/>
      <c r="AY32" s="111"/>
      <c r="AZ32" s="111"/>
      <c r="BA32" s="111"/>
      <c r="BB32" s="111"/>
      <c r="BC32" s="111"/>
      <c r="BD32" s="111"/>
      <c r="BE32" s="111"/>
      <c r="BF32" s="111">
        <f>BE32-BD32</f>
        <v>0</v>
      </c>
      <c r="BG32" s="111">
        <v>3800</v>
      </c>
      <c r="BH32" s="116">
        <f>BF32*BG32</f>
        <v>0</v>
      </c>
      <c r="BI32" s="111"/>
      <c r="BJ32" s="111"/>
      <c r="BK32" s="111"/>
      <c r="BL32" s="111"/>
      <c r="BM32" s="111"/>
      <c r="BN32" s="111"/>
      <c r="BO32" s="111"/>
      <c r="BP32" s="111"/>
      <c r="BQ32" s="117"/>
      <c r="BR32" s="111"/>
      <c r="BS32" s="111"/>
      <c r="BT32" s="111"/>
      <c r="BU32" s="111"/>
      <c r="BV32" s="111"/>
      <c r="BW32" s="111"/>
      <c r="BX32" s="111"/>
      <c r="BY32" s="111"/>
      <c r="BZ32" s="111"/>
      <c r="CA32" s="111"/>
      <c r="CB32" s="111"/>
      <c r="CC32" s="111"/>
    </row>
    <row r="33" spans="1:81" ht="19.5" customHeight="1">
      <c r="A33" s="101"/>
      <c r="B33" s="101"/>
      <c r="C33" s="102"/>
      <c r="D33" s="102"/>
      <c r="E33" s="111"/>
      <c r="F33" s="116"/>
      <c r="G33" s="106"/>
      <c r="H33" s="106"/>
      <c r="I33" s="106"/>
      <c r="J33" s="111">
        <v>30</v>
      </c>
      <c r="K33" s="111">
        <v>30</v>
      </c>
      <c r="L33" s="122"/>
      <c r="M33" s="116"/>
      <c r="N33" s="124"/>
      <c r="O33" s="111"/>
      <c r="P33" s="111"/>
      <c r="Q33" s="111">
        <f t="shared" si="11"/>
        <v>0</v>
      </c>
      <c r="R33" s="111">
        <v>3800</v>
      </c>
      <c r="S33" s="116">
        <f t="shared" si="12"/>
        <v>0</v>
      </c>
      <c r="T33" s="111"/>
      <c r="U33" s="111"/>
      <c r="V33" s="124"/>
      <c r="W33" s="111"/>
      <c r="X33" s="111">
        <f t="shared" si="5"/>
        <v>0</v>
      </c>
      <c r="Y33" s="124"/>
      <c r="Z33" s="111">
        <v>30000</v>
      </c>
      <c r="AA33" s="111">
        <f t="shared" si="13"/>
        <v>0</v>
      </c>
      <c r="AB33" s="111"/>
      <c r="AC33" s="111">
        <v>100000</v>
      </c>
      <c r="AD33" s="111">
        <f t="shared" si="14"/>
        <v>0</v>
      </c>
      <c r="AE33" s="111"/>
      <c r="AF33" s="111"/>
      <c r="AG33" s="111"/>
      <c r="AH33" s="111"/>
      <c r="AI33" s="111"/>
      <c r="AJ33" s="111"/>
      <c r="AK33" s="124"/>
      <c r="AL33" s="111"/>
      <c r="AM33" s="125"/>
      <c r="AN33" s="111"/>
      <c r="AO33" s="111"/>
      <c r="AP33" s="111"/>
      <c r="AQ33" s="109">
        <f>SUM(S33,X33,AA33,AD33,AG33,AJ33,AM33,AP33)</f>
        <v>0</v>
      </c>
      <c r="AR33" s="110">
        <f t="shared" si="9"/>
        <v>0</v>
      </c>
      <c r="AS33" s="111"/>
      <c r="AT33" s="118"/>
      <c r="AU33" s="113" t="str">
        <f t="shared" si="10"/>
        <v>Trống</v>
      </c>
      <c r="AV33" s="114">
        <f t="shared" si="2"/>
        <v>0</v>
      </c>
      <c r="AW33" s="115"/>
      <c r="AX33" s="116"/>
      <c r="AY33" s="111"/>
      <c r="AZ33" s="111"/>
      <c r="BA33" s="111"/>
      <c r="BB33" s="111"/>
      <c r="BC33" s="111"/>
      <c r="BD33" s="111"/>
      <c r="BE33" s="111"/>
      <c r="BF33" s="111"/>
      <c r="BG33" s="111"/>
      <c r="BH33" s="116"/>
      <c r="BI33" s="111"/>
      <c r="BJ33" s="111"/>
      <c r="BK33" s="111"/>
      <c r="BL33" s="111"/>
      <c r="BM33" s="111"/>
      <c r="BN33" s="111"/>
      <c r="BO33" s="117"/>
      <c r="BP33" s="111"/>
      <c r="BQ33" s="117"/>
      <c r="BR33" s="111"/>
      <c r="BS33" s="111"/>
      <c r="BT33" s="111"/>
      <c r="BU33" s="111"/>
      <c r="BV33" s="111"/>
      <c r="BW33" s="111"/>
      <c r="BX33" s="111"/>
      <c r="BY33" s="111"/>
      <c r="BZ33" s="111"/>
      <c r="CA33" s="111"/>
      <c r="CB33" s="111"/>
      <c r="CC33" s="111"/>
    </row>
    <row r="34" spans="1:81" ht="18.75" customHeight="1">
      <c r="A34" s="101"/>
      <c r="B34" s="101"/>
      <c r="C34" s="102"/>
      <c r="D34" s="102"/>
      <c r="E34" s="111"/>
      <c r="F34" s="116"/>
      <c r="G34" s="106"/>
      <c r="H34" s="106"/>
      <c r="I34" s="106"/>
      <c r="J34" s="111">
        <v>30</v>
      </c>
      <c r="K34" s="111">
        <v>30</v>
      </c>
      <c r="L34" s="122"/>
      <c r="M34" s="116"/>
      <c r="N34" s="124"/>
      <c r="O34" s="111"/>
      <c r="P34" s="111"/>
      <c r="Q34" s="111">
        <f t="shared" si="11"/>
        <v>0</v>
      </c>
      <c r="R34" s="111">
        <v>3800</v>
      </c>
      <c r="S34" s="116">
        <f t="shared" si="12"/>
        <v>0</v>
      </c>
      <c r="T34" s="111"/>
      <c r="U34" s="111"/>
      <c r="V34" s="124"/>
      <c r="W34" s="111"/>
      <c r="X34" s="111">
        <f t="shared" si="5"/>
        <v>0</v>
      </c>
      <c r="Y34" s="124"/>
      <c r="Z34" s="111">
        <v>30000</v>
      </c>
      <c r="AA34" s="111">
        <f t="shared" si="13"/>
        <v>0</v>
      </c>
      <c r="AB34" s="111"/>
      <c r="AC34" s="111">
        <v>100000</v>
      </c>
      <c r="AD34" s="111">
        <f t="shared" si="14"/>
        <v>0</v>
      </c>
      <c r="AE34" s="111"/>
      <c r="AF34" s="111"/>
      <c r="AG34" s="111"/>
      <c r="AH34" s="111"/>
      <c r="AI34" s="111"/>
      <c r="AJ34" s="111"/>
      <c r="AK34" s="124"/>
      <c r="AL34" s="111"/>
      <c r="AM34" s="125"/>
      <c r="AN34" s="111"/>
      <c r="AO34" s="111"/>
      <c r="AP34" s="111"/>
      <c r="AQ34" s="109">
        <f>SUM(S34,X34,AA34,AD34,AG34,AJ34,AM34,AP34)</f>
        <v>0</v>
      </c>
      <c r="AR34" s="110">
        <f t="shared" si="9"/>
        <v>0</v>
      </c>
      <c r="AS34" s="111"/>
      <c r="AT34" s="118"/>
      <c r="AU34" s="113" t="str">
        <f t="shared" si="10"/>
        <v>Trống</v>
      </c>
      <c r="AV34" s="114">
        <f t="shared" si="2"/>
        <v>0</v>
      </c>
      <c r="AW34" s="115"/>
      <c r="AX34" s="116"/>
      <c r="AY34" s="111"/>
      <c r="AZ34" s="111"/>
      <c r="BA34" s="111"/>
      <c r="BB34" s="111"/>
      <c r="BC34" s="111"/>
      <c r="BD34" s="111"/>
      <c r="BE34" s="111"/>
      <c r="BF34" s="111"/>
      <c r="BG34" s="111"/>
      <c r="BH34" s="116"/>
      <c r="BI34" s="111"/>
      <c r="BJ34" s="111"/>
      <c r="BK34" s="111"/>
      <c r="BL34" s="111"/>
      <c r="BM34" s="111"/>
      <c r="BN34" s="111"/>
      <c r="BO34" s="117"/>
      <c r="BP34" s="111"/>
      <c r="BQ34" s="117"/>
      <c r="BR34" s="111"/>
      <c r="BS34" s="111"/>
      <c r="BT34" s="111"/>
      <c r="BU34" s="111"/>
      <c r="BV34" s="111"/>
      <c r="BW34" s="111"/>
      <c r="BX34" s="111"/>
      <c r="BY34" s="111"/>
      <c r="BZ34" s="111"/>
      <c r="CA34" s="111"/>
      <c r="CB34" s="111"/>
      <c r="CC34" s="111"/>
    </row>
    <row r="35" spans="1:81" ht="18" customHeight="1">
      <c r="A35" s="101"/>
      <c r="B35" s="101"/>
      <c r="C35" s="102"/>
      <c r="D35" s="102"/>
      <c r="E35" s="111"/>
      <c r="F35" s="116"/>
      <c r="G35" s="106"/>
      <c r="H35" s="106"/>
      <c r="I35" s="106"/>
      <c r="J35" s="111">
        <v>30</v>
      </c>
      <c r="K35" s="111">
        <v>30</v>
      </c>
      <c r="L35" s="122"/>
      <c r="M35" s="116"/>
      <c r="N35" s="124"/>
      <c r="O35" s="111"/>
      <c r="P35" s="111"/>
      <c r="Q35" s="111">
        <f t="shared" si="11"/>
        <v>0</v>
      </c>
      <c r="R35" s="111">
        <v>3800</v>
      </c>
      <c r="S35" s="116">
        <f t="shared" si="12"/>
        <v>0</v>
      </c>
      <c r="T35" s="111"/>
      <c r="U35" s="111"/>
      <c r="V35" s="124"/>
      <c r="W35" s="111"/>
      <c r="X35" s="111">
        <f t="shared" si="5"/>
        <v>0</v>
      </c>
      <c r="Y35" s="124"/>
      <c r="Z35" s="111">
        <v>30000</v>
      </c>
      <c r="AA35" s="111">
        <f t="shared" si="13"/>
        <v>0</v>
      </c>
      <c r="AB35" s="111"/>
      <c r="AC35" s="111">
        <v>100000</v>
      </c>
      <c r="AD35" s="111">
        <f t="shared" si="14"/>
        <v>0</v>
      </c>
      <c r="AE35" s="111"/>
      <c r="AF35" s="111">
        <v>50000</v>
      </c>
      <c r="AG35" s="111">
        <f>AE35*AF35</f>
        <v>0</v>
      </c>
      <c r="AH35" s="111"/>
      <c r="AI35" s="111"/>
      <c r="AJ35" s="111"/>
      <c r="AK35" s="124"/>
      <c r="AL35" s="111"/>
      <c r="AM35" s="125"/>
      <c r="AN35" s="111"/>
      <c r="AO35" s="111"/>
      <c r="AP35" s="111"/>
      <c r="AQ35" s="109">
        <f>SUM(S35,X35,AA35,AD35,AG35,AJ35,AM35,AP35)</f>
        <v>0</v>
      </c>
      <c r="AR35" s="110">
        <f t="shared" si="9"/>
        <v>0</v>
      </c>
      <c r="AS35" s="111"/>
      <c r="AT35" s="118"/>
      <c r="AU35" s="113" t="str">
        <f t="shared" si="10"/>
        <v>Trống</v>
      </c>
      <c r="AV35" s="114">
        <f t="shared" si="2"/>
        <v>0</v>
      </c>
      <c r="AW35" s="115"/>
      <c r="AX35" s="116"/>
      <c r="AY35" s="111"/>
      <c r="AZ35" s="111"/>
      <c r="BA35" s="111"/>
      <c r="BB35" s="111"/>
      <c r="BC35" s="111"/>
      <c r="BD35" s="111"/>
      <c r="BE35" s="111"/>
      <c r="BF35" s="111"/>
      <c r="BG35" s="111"/>
      <c r="BH35" s="116"/>
      <c r="BI35" s="111"/>
      <c r="BJ35" s="111"/>
      <c r="BK35" s="111"/>
      <c r="BL35" s="111"/>
      <c r="BM35" s="111"/>
      <c r="BN35" s="111"/>
      <c r="BO35" s="117"/>
      <c r="BP35" s="111"/>
      <c r="BQ35" s="117"/>
      <c r="BR35" s="111"/>
      <c r="BS35" s="111"/>
      <c r="BT35" s="111"/>
      <c r="BU35" s="111"/>
      <c r="BV35" s="111"/>
      <c r="BW35" s="111"/>
      <c r="BX35" s="111"/>
      <c r="BY35" s="111"/>
      <c r="BZ35" s="111"/>
      <c r="CA35" s="111"/>
      <c r="CB35" s="111"/>
      <c r="CC35" s="111"/>
    </row>
    <row r="36" spans="1:81" ht="16.5" customHeight="1">
      <c r="A36" s="101"/>
      <c r="B36" s="101"/>
      <c r="C36" s="102"/>
      <c r="D36" s="102"/>
      <c r="E36" s="111"/>
      <c r="F36" s="116"/>
      <c r="G36" s="106"/>
      <c r="H36" s="106"/>
      <c r="I36" s="106"/>
      <c r="J36" s="111">
        <v>30</v>
      </c>
      <c r="K36" s="111">
        <v>30</v>
      </c>
      <c r="L36" s="122"/>
      <c r="M36" s="116"/>
      <c r="N36" s="124"/>
      <c r="O36" s="111"/>
      <c r="P36" s="111"/>
      <c r="Q36" s="111">
        <f t="shared" si="11"/>
        <v>0</v>
      </c>
      <c r="R36" s="111">
        <v>3800</v>
      </c>
      <c r="S36" s="116">
        <f t="shared" si="12"/>
        <v>0</v>
      </c>
      <c r="T36" s="111"/>
      <c r="U36" s="111"/>
      <c r="V36" s="124"/>
      <c r="W36" s="111"/>
      <c r="X36" s="111">
        <f t="shared" si="5"/>
        <v>0</v>
      </c>
      <c r="Y36" s="124"/>
      <c r="Z36" s="111">
        <v>30000</v>
      </c>
      <c r="AA36" s="111">
        <f t="shared" si="13"/>
        <v>0</v>
      </c>
      <c r="AB36" s="111"/>
      <c r="AC36" s="111">
        <v>100000</v>
      </c>
      <c r="AD36" s="111">
        <f t="shared" si="14"/>
        <v>0</v>
      </c>
      <c r="AE36" s="111"/>
      <c r="AF36" s="111">
        <v>50000</v>
      </c>
      <c r="AG36" s="111">
        <f>AE36*AF36</f>
        <v>0</v>
      </c>
      <c r="AH36" s="111"/>
      <c r="AI36" s="111"/>
      <c r="AJ36" s="111"/>
      <c r="AK36" s="124"/>
      <c r="AL36" s="111"/>
      <c r="AM36" s="125"/>
      <c r="AN36" s="111"/>
      <c r="AO36" s="111"/>
      <c r="AP36" s="111">
        <f>AN36*AO36</f>
        <v>0</v>
      </c>
      <c r="AQ36" s="109">
        <f>(SUM(S36,X36,AA36,AD36,AG36,AJ36,AM36,AP36)/31)*15</f>
        <v>0</v>
      </c>
      <c r="AR36" s="110">
        <f t="shared" si="9"/>
        <v>0</v>
      </c>
      <c r="AS36" s="111"/>
      <c r="AT36" s="118"/>
      <c r="AU36" s="113" t="str">
        <f t="shared" si="10"/>
        <v>Trống</v>
      </c>
      <c r="AV36" s="114">
        <f t="shared" si="2"/>
        <v>0</v>
      </c>
      <c r="AW36" s="115"/>
      <c r="AX36" s="116"/>
      <c r="AY36" s="111"/>
      <c r="AZ36" s="111"/>
      <c r="BA36" s="111"/>
      <c r="BB36" s="111"/>
      <c r="BC36" s="111"/>
      <c r="BD36" s="111"/>
      <c r="BE36" s="111"/>
      <c r="BF36" s="111"/>
      <c r="BG36" s="111"/>
      <c r="BH36" s="116"/>
      <c r="BI36" s="111"/>
      <c r="BJ36" s="111"/>
      <c r="BK36" s="111"/>
      <c r="BL36" s="111"/>
      <c r="BM36" s="111"/>
      <c r="BN36" s="111"/>
      <c r="BO36" s="117"/>
      <c r="BP36" s="111"/>
      <c r="BQ36" s="117"/>
      <c r="BR36" s="111"/>
      <c r="BS36" s="111"/>
      <c r="BT36" s="111"/>
      <c r="BU36" s="111"/>
      <c r="BV36" s="111"/>
      <c r="BW36" s="111"/>
      <c r="BX36" s="111"/>
      <c r="BY36" s="111"/>
      <c r="BZ36" s="111"/>
      <c r="CA36" s="111"/>
      <c r="CB36" s="111"/>
      <c r="CC36" s="111"/>
    </row>
    <row r="37" spans="1:81" ht="20.25" customHeight="1">
      <c r="A37" s="101"/>
      <c r="B37" s="101"/>
      <c r="C37" s="102"/>
      <c r="D37" s="102"/>
      <c r="E37" s="111"/>
      <c r="F37" s="116"/>
      <c r="G37" s="106"/>
      <c r="H37" s="106"/>
      <c r="I37" s="106"/>
      <c r="J37" s="111">
        <v>30</v>
      </c>
      <c r="K37" s="111">
        <v>30</v>
      </c>
      <c r="L37" s="122"/>
      <c r="M37" s="116"/>
      <c r="N37" s="124"/>
      <c r="O37" s="111"/>
      <c r="P37" s="111"/>
      <c r="Q37" s="111">
        <f t="shared" si="11"/>
        <v>0</v>
      </c>
      <c r="R37" s="111">
        <v>3800</v>
      </c>
      <c r="S37" s="116">
        <f t="shared" si="12"/>
        <v>0</v>
      </c>
      <c r="T37" s="111"/>
      <c r="U37" s="111"/>
      <c r="V37" s="124"/>
      <c r="W37" s="111"/>
      <c r="X37" s="111">
        <f t="shared" si="5"/>
        <v>0</v>
      </c>
      <c r="Y37" s="124"/>
      <c r="Z37" s="111">
        <v>30000</v>
      </c>
      <c r="AA37" s="111">
        <f t="shared" si="13"/>
        <v>0</v>
      </c>
      <c r="AB37" s="111"/>
      <c r="AC37" s="111">
        <v>100000</v>
      </c>
      <c r="AD37" s="111">
        <f t="shared" si="14"/>
        <v>0</v>
      </c>
      <c r="AE37" s="111"/>
      <c r="AF37" s="111">
        <v>50000</v>
      </c>
      <c r="AG37" s="111">
        <f>AE37*AF37</f>
        <v>0</v>
      </c>
      <c r="AH37" s="111"/>
      <c r="AI37" s="111"/>
      <c r="AJ37" s="111"/>
      <c r="AK37" s="124"/>
      <c r="AL37" s="111"/>
      <c r="AM37" s="125"/>
      <c r="AN37" s="111"/>
      <c r="AO37" s="111"/>
      <c r="AP37" s="111"/>
      <c r="AQ37" s="109">
        <f t="shared" ref="AQ37:AQ51" si="15">SUM(S37,X37,AA37,AD37,AG37,AJ37,AM37,AP37)</f>
        <v>0</v>
      </c>
      <c r="AR37" s="110">
        <f t="shared" si="9"/>
        <v>0</v>
      </c>
      <c r="AS37" s="111"/>
      <c r="AT37" s="118"/>
      <c r="AU37" s="113" t="str">
        <f t="shared" si="10"/>
        <v>Trống</v>
      </c>
      <c r="AV37" s="114">
        <f t="shared" si="2"/>
        <v>0</v>
      </c>
      <c r="AW37" s="115"/>
      <c r="AX37" s="116"/>
      <c r="AY37" s="111"/>
      <c r="AZ37" s="111"/>
      <c r="BA37" s="111"/>
      <c r="BB37" s="111"/>
      <c r="BC37" s="111"/>
      <c r="BD37" s="111"/>
      <c r="BE37" s="111"/>
      <c r="BF37" s="111"/>
      <c r="BG37" s="111"/>
      <c r="BH37" s="116"/>
      <c r="BI37" s="111"/>
      <c r="BJ37" s="111"/>
      <c r="BK37" s="111"/>
      <c r="BL37" s="111"/>
      <c r="BM37" s="111"/>
      <c r="BN37" s="111"/>
      <c r="BO37" s="117"/>
      <c r="BP37" s="111"/>
      <c r="BQ37" s="117"/>
      <c r="BR37" s="111"/>
      <c r="BS37" s="111"/>
      <c r="BT37" s="111"/>
      <c r="BU37" s="111"/>
      <c r="BV37" s="111"/>
      <c r="BW37" s="111"/>
      <c r="BX37" s="111"/>
      <c r="BY37" s="111"/>
      <c r="BZ37" s="111"/>
      <c r="CA37" s="111"/>
      <c r="CB37" s="111"/>
      <c r="CC37" s="111"/>
    </row>
    <row r="38" spans="1:81" ht="18.75" customHeight="1">
      <c r="A38" s="101"/>
      <c r="B38" s="101"/>
      <c r="C38" s="102"/>
      <c r="D38" s="102"/>
      <c r="E38" s="111"/>
      <c r="F38" s="116"/>
      <c r="G38" s="106"/>
      <c r="H38" s="106"/>
      <c r="I38" s="106"/>
      <c r="J38" s="111">
        <v>30</v>
      </c>
      <c r="K38" s="111">
        <v>30</v>
      </c>
      <c r="L38" s="122"/>
      <c r="M38" s="116"/>
      <c r="N38" s="124"/>
      <c r="O38" s="111"/>
      <c r="P38" s="111"/>
      <c r="Q38" s="111">
        <f t="shared" si="11"/>
        <v>0</v>
      </c>
      <c r="R38" s="111">
        <v>3800</v>
      </c>
      <c r="S38" s="116">
        <f t="shared" si="12"/>
        <v>0</v>
      </c>
      <c r="T38" s="111"/>
      <c r="U38" s="111"/>
      <c r="V38" s="124"/>
      <c r="W38" s="111"/>
      <c r="X38" s="111">
        <f t="shared" si="5"/>
        <v>0</v>
      </c>
      <c r="Y38" s="124"/>
      <c r="Z38" s="111">
        <v>30000</v>
      </c>
      <c r="AA38" s="111">
        <f t="shared" si="13"/>
        <v>0</v>
      </c>
      <c r="AB38" s="111"/>
      <c r="AC38" s="111">
        <v>100000</v>
      </c>
      <c r="AD38" s="111">
        <f t="shared" si="14"/>
        <v>0</v>
      </c>
      <c r="AE38" s="111"/>
      <c r="AF38" s="111"/>
      <c r="AG38" s="111"/>
      <c r="AH38" s="111"/>
      <c r="AI38" s="111"/>
      <c r="AJ38" s="111"/>
      <c r="AK38" s="124"/>
      <c r="AL38" s="111"/>
      <c r="AM38" s="125"/>
      <c r="AN38" s="111"/>
      <c r="AO38" s="111"/>
      <c r="AP38" s="111"/>
      <c r="AQ38" s="109">
        <f t="shared" si="15"/>
        <v>0</v>
      </c>
      <c r="AR38" s="110">
        <f t="shared" si="9"/>
        <v>0</v>
      </c>
      <c r="AS38" s="111"/>
      <c r="AT38" s="118"/>
      <c r="AU38" s="113" t="str">
        <f t="shared" si="10"/>
        <v>Trống</v>
      </c>
      <c r="AV38" s="114">
        <f t="shared" si="2"/>
        <v>0</v>
      </c>
      <c r="AW38" s="115"/>
      <c r="AX38" s="116"/>
      <c r="AY38" s="111"/>
      <c r="AZ38" s="111"/>
      <c r="BA38" s="111"/>
      <c r="BB38" s="111"/>
      <c r="BC38" s="111"/>
      <c r="BD38" s="111"/>
      <c r="BE38" s="111"/>
      <c r="BF38" s="111"/>
      <c r="BG38" s="111"/>
      <c r="BH38" s="116"/>
      <c r="BI38" s="111"/>
      <c r="BJ38" s="111"/>
      <c r="BK38" s="111"/>
      <c r="BL38" s="111"/>
      <c r="BM38" s="111"/>
      <c r="BN38" s="111"/>
      <c r="BO38" s="117"/>
      <c r="BP38" s="111"/>
      <c r="BQ38" s="117"/>
      <c r="BR38" s="111"/>
      <c r="BS38" s="111"/>
      <c r="BT38" s="111"/>
      <c r="BU38" s="111"/>
      <c r="BV38" s="111"/>
      <c r="BW38" s="111"/>
      <c r="BX38" s="111"/>
      <c r="BY38" s="111"/>
      <c r="BZ38" s="111"/>
      <c r="CA38" s="111"/>
      <c r="CB38" s="111"/>
      <c r="CC38" s="111"/>
    </row>
    <row r="39" spans="1:81" ht="17.25" customHeight="1">
      <c r="A39" s="101"/>
      <c r="B39" s="101"/>
      <c r="C39" s="102"/>
      <c r="D39" s="102"/>
      <c r="E39" s="111"/>
      <c r="F39" s="116"/>
      <c r="G39" s="106"/>
      <c r="H39" s="106"/>
      <c r="I39" s="106"/>
      <c r="J39" s="111">
        <v>30</v>
      </c>
      <c r="K39" s="111">
        <v>30</v>
      </c>
      <c r="L39" s="122"/>
      <c r="M39" s="116"/>
      <c r="N39" s="124"/>
      <c r="O39" s="111"/>
      <c r="P39" s="111"/>
      <c r="Q39" s="111">
        <f t="shared" si="11"/>
        <v>0</v>
      </c>
      <c r="R39" s="111">
        <v>3800</v>
      </c>
      <c r="S39" s="116">
        <f t="shared" si="12"/>
        <v>0</v>
      </c>
      <c r="T39" s="111"/>
      <c r="U39" s="111"/>
      <c r="V39" s="124"/>
      <c r="W39" s="111"/>
      <c r="X39" s="111">
        <f t="shared" si="5"/>
        <v>0</v>
      </c>
      <c r="Y39" s="124"/>
      <c r="Z39" s="111">
        <v>30000</v>
      </c>
      <c r="AA39" s="111">
        <f t="shared" si="13"/>
        <v>0</v>
      </c>
      <c r="AB39" s="111"/>
      <c r="AC39" s="111">
        <v>100000</v>
      </c>
      <c r="AD39" s="111">
        <f t="shared" si="14"/>
        <v>0</v>
      </c>
      <c r="AE39" s="111"/>
      <c r="AF39" s="111"/>
      <c r="AG39" s="111"/>
      <c r="AH39" s="111"/>
      <c r="AI39" s="111"/>
      <c r="AJ39" s="111"/>
      <c r="AK39" s="124"/>
      <c r="AL39" s="111"/>
      <c r="AM39" s="125"/>
      <c r="AN39" s="111"/>
      <c r="AO39" s="111"/>
      <c r="AP39" s="111"/>
      <c r="AQ39" s="109">
        <f t="shared" si="15"/>
        <v>0</v>
      </c>
      <c r="AR39" s="110">
        <f t="shared" si="9"/>
        <v>0</v>
      </c>
      <c r="AS39" s="111"/>
      <c r="AT39" s="118"/>
      <c r="AU39" s="113" t="str">
        <f t="shared" si="10"/>
        <v>Trống</v>
      </c>
      <c r="AV39" s="114">
        <f t="shared" si="2"/>
        <v>0</v>
      </c>
      <c r="AW39" s="115"/>
      <c r="AX39" s="116"/>
      <c r="AY39" s="111"/>
      <c r="AZ39" s="111"/>
      <c r="BA39" s="111"/>
      <c r="BB39" s="111"/>
      <c r="BC39" s="111"/>
      <c r="BD39" s="111"/>
      <c r="BE39" s="111"/>
      <c r="BF39" s="111"/>
      <c r="BG39" s="111"/>
      <c r="BH39" s="116"/>
      <c r="BI39" s="111"/>
      <c r="BJ39" s="111"/>
      <c r="BK39" s="111"/>
      <c r="BL39" s="111"/>
      <c r="BM39" s="111"/>
      <c r="BN39" s="111"/>
      <c r="BO39" s="117"/>
      <c r="BP39" s="111"/>
      <c r="BQ39" s="117"/>
      <c r="BR39" s="111"/>
      <c r="BS39" s="111"/>
      <c r="BT39" s="111"/>
      <c r="BU39" s="111"/>
      <c r="BV39" s="111"/>
      <c r="BW39" s="111"/>
      <c r="BX39" s="111"/>
      <c r="BY39" s="111"/>
      <c r="BZ39" s="111"/>
      <c r="CA39" s="111"/>
      <c r="CB39" s="111"/>
      <c r="CC39" s="111"/>
    </row>
    <row r="40" spans="1:81" ht="17.25" customHeight="1">
      <c r="A40" s="101"/>
      <c r="B40" s="101"/>
      <c r="C40" s="102"/>
      <c r="D40" s="102"/>
      <c r="E40" s="111"/>
      <c r="F40" s="116"/>
      <c r="G40" s="106"/>
      <c r="H40" s="106"/>
      <c r="I40" s="106"/>
      <c r="J40" s="111">
        <v>30</v>
      </c>
      <c r="K40" s="111">
        <v>30</v>
      </c>
      <c r="L40" s="122"/>
      <c r="M40" s="116"/>
      <c r="N40" s="124"/>
      <c r="O40" s="111"/>
      <c r="P40" s="111"/>
      <c r="Q40" s="111">
        <f t="shared" si="11"/>
        <v>0</v>
      </c>
      <c r="R40" s="111">
        <v>3800</v>
      </c>
      <c r="S40" s="116">
        <f t="shared" si="12"/>
        <v>0</v>
      </c>
      <c r="T40" s="111"/>
      <c r="U40" s="111"/>
      <c r="V40" s="124"/>
      <c r="W40" s="111"/>
      <c r="X40" s="111">
        <f t="shared" si="5"/>
        <v>0</v>
      </c>
      <c r="Y40" s="124"/>
      <c r="Z40" s="111">
        <v>30000</v>
      </c>
      <c r="AA40" s="111">
        <f t="shared" si="13"/>
        <v>0</v>
      </c>
      <c r="AB40" s="111"/>
      <c r="AC40" s="111">
        <v>100000</v>
      </c>
      <c r="AD40" s="111">
        <f t="shared" si="14"/>
        <v>0</v>
      </c>
      <c r="AE40" s="111"/>
      <c r="AF40" s="111"/>
      <c r="AG40" s="111"/>
      <c r="AH40" s="111"/>
      <c r="AI40" s="111"/>
      <c r="AJ40" s="111"/>
      <c r="AK40" s="124"/>
      <c r="AL40" s="111"/>
      <c r="AM40" s="125"/>
      <c r="AN40" s="111"/>
      <c r="AO40" s="111"/>
      <c r="AP40" s="111"/>
      <c r="AQ40" s="109">
        <f t="shared" si="15"/>
        <v>0</v>
      </c>
      <c r="AR40" s="110">
        <f t="shared" si="9"/>
        <v>0</v>
      </c>
      <c r="AS40" s="111"/>
      <c r="AT40" s="118"/>
      <c r="AU40" s="113" t="str">
        <f t="shared" si="10"/>
        <v>Trống</v>
      </c>
      <c r="AV40" s="114">
        <f t="shared" si="2"/>
        <v>0</v>
      </c>
      <c r="AW40" s="115"/>
      <c r="AX40" s="116"/>
      <c r="AY40" s="111"/>
      <c r="AZ40" s="111"/>
      <c r="BA40" s="111"/>
      <c r="BB40" s="111"/>
      <c r="BC40" s="111"/>
      <c r="BD40" s="111"/>
      <c r="BE40" s="111"/>
      <c r="BF40" s="111"/>
      <c r="BG40" s="111"/>
      <c r="BH40" s="116"/>
      <c r="BI40" s="111"/>
      <c r="BJ40" s="111"/>
      <c r="BK40" s="111"/>
      <c r="BL40" s="111"/>
      <c r="BM40" s="111"/>
      <c r="BN40" s="111"/>
      <c r="BO40" s="117"/>
      <c r="BP40" s="111"/>
      <c r="BQ40" s="117"/>
      <c r="BR40" s="111"/>
      <c r="BS40" s="111"/>
      <c r="BT40" s="111"/>
      <c r="BU40" s="111"/>
      <c r="BV40" s="111"/>
      <c r="BW40" s="111"/>
      <c r="BX40" s="111"/>
      <c r="BY40" s="111"/>
      <c r="BZ40" s="111"/>
      <c r="CA40" s="111"/>
      <c r="CB40" s="111"/>
      <c r="CC40" s="111"/>
    </row>
    <row r="41" spans="1:81" ht="15" customHeight="1">
      <c r="A41" s="101"/>
      <c r="B41" s="101"/>
      <c r="C41" s="102"/>
      <c r="D41" s="102"/>
      <c r="E41" s="111"/>
      <c r="F41" s="116"/>
      <c r="G41" s="106"/>
      <c r="H41" s="106"/>
      <c r="I41" s="106"/>
      <c r="J41" s="111">
        <v>30</v>
      </c>
      <c r="K41" s="111">
        <v>30</v>
      </c>
      <c r="L41" s="122"/>
      <c r="M41" s="116"/>
      <c r="N41" s="124"/>
      <c r="O41" s="111"/>
      <c r="P41" s="111"/>
      <c r="Q41" s="111">
        <f t="shared" si="11"/>
        <v>0</v>
      </c>
      <c r="R41" s="111">
        <v>3800</v>
      </c>
      <c r="S41" s="116">
        <f t="shared" si="12"/>
        <v>0</v>
      </c>
      <c r="T41" s="111"/>
      <c r="U41" s="111"/>
      <c r="V41" s="124"/>
      <c r="W41" s="111"/>
      <c r="X41" s="111">
        <f t="shared" si="5"/>
        <v>0</v>
      </c>
      <c r="Y41" s="124"/>
      <c r="Z41" s="111">
        <v>30000</v>
      </c>
      <c r="AA41" s="111">
        <f t="shared" si="13"/>
        <v>0</v>
      </c>
      <c r="AB41" s="111"/>
      <c r="AC41" s="111">
        <v>100000</v>
      </c>
      <c r="AD41" s="111">
        <f t="shared" si="14"/>
        <v>0</v>
      </c>
      <c r="AE41" s="111"/>
      <c r="AF41" s="111"/>
      <c r="AG41" s="111"/>
      <c r="AH41" s="111"/>
      <c r="AI41" s="111"/>
      <c r="AJ41" s="111"/>
      <c r="AK41" s="124"/>
      <c r="AL41" s="111"/>
      <c r="AM41" s="125"/>
      <c r="AN41" s="111"/>
      <c r="AO41" s="111"/>
      <c r="AP41" s="111"/>
      <c r="AQ41" s="109">
        <f t="shared" si="15"/>
        <v>0</v>
      </c>
      <c r="AR41" s="110">
        <f t="shared" si="9"/>
        <v>0</v>
      </c>
      <c r="AS41" s="111"/>
      <c r="AT41" s="118"/>
      <c r="AU41" s="113" t="str">
        <f t="shared" si="10"/>
        <v>Trống</v>
      </c>
      <c r="AV41" s="114">
        <f t="shared" si="2"/>
        <v>0</v>
      </c>
      <c r="AW41" s="115"/>
      <c r="AX41" s="116"/>
      <c r="AY41" s="111"/>
      <c r="AZ41" s="111"/>
      <c r="BA41" s="111"/>
      <c r="BB41" s="111"/>
      <c r="BC41" s="111"/>
      <c r="BD41" s="111"/>
      <c r="BE41" s="111"/>
      <c r="BF41" s="111"/>
      <c r="BG41" s="111"/>
      <c r="BH41" s="116"/>
      <c r="BI41" s="111"/>
      <c r="BJ41" s="111"/>
      <c r="BK41" s="111"/>
      <c r="BL41" s="111"/>
      <c r="BM41" s="111"/>
      <c r="BN41" s="111"/>
      <c r="BO41" s="117"/>
      <c r="BP41" s="111"/>
      <c r="BQ41" s="117"/>
      <c r="BR41" s="111"/>
      <c r="BS41" s="111"/>
      <c r="BT41" s="111"/>
      <c r="BU41" s="111"/>
      <c r="BV41" s="111"/>
      <c r="BW41" s="111"/>
      <c r="BX41" s="111"/>
      <c r="BY41" s="111"/>
      <c r="BZ41" s="111"/>
      <c r="CA41" s="111"/>
      <c r="CB41" s="111"/>
      <c r="CC41" s="111"/>
    </row>
    <row r="42" spans="1:81" ht="16.5" customHeight="1">
      <c r="A42" s="101"/>
      <c r="B42" s="101"/>
      <c r="C42" s="102"/>
      <c r="D42" s="102"/>
      <c r="E42" s="111">
        <v>1</v>
      </c>
      <c r="F42" s="116"/>
      <c r="G42" s="106"/>
      <c r="H42" s="106"/>
      <c r="I42" s="106"/>
      <c r="J42" s="111">
        <v>30</v>
      </c>
      <c r="K42" s="111">
        <v>30</v>
      </c>
      <c r="L42" s="122"/>
      <c r="M42" s="116"/>
      <c r="N42" s="124"/>
      <c r="O42" s="111"/>
      <c r="P42" s="111"/>
      <c r="Q42" s="111">
        <f t="shared" si="11"/>
        <v>0</v>
      </c>
      <c r="R42" s="111">
        <v>3800</v>
      </c>
      <c r="S42" s="116">
        <f t="shared" si="12"/>
        <v>0</v>
      </c>
      <c r="T42" s="111"/>
      <c r="U42" s="111"/>
      <c r="V42" s="124"/>
      <c r="W42" s="111"/>
      <c r="X42" s="111">
        <f t="shared" si="5"/>
        <v>0</v>
      </c>
      <c r="Y42" s="124"/>
      <c r="Z42" s="111">
        <v>30000</v>
      </c>
      <c r="AA42" s="111">
        <f t="shared" si="13"/>
        <v>0</v>
      </c>
      <c r="AB42" s="111"/>
      <c r="AC42" s="111">
        <v>100000</v>
      </c>
      <c r="AD42" s="111">
        <f t="shared" si="14"/>
        <v>0</v>
      </c>
      <c r="AE42" s="111"/>
      <c r="AF42" s="111"/>
      <c r="AG42" s="111"/>
      <c r="AH42" s="111"/>
      <c r="AI42" s="111"/>
      <c r="AJ42" s="111"/>
      <c r="AK42" s="124"/>
      <c r="AL42" s="111"/>
      <c r="AM42" s="125"/>
      <c r="AN42" s="111"/>
      <c r="AO42" s="111"/>
      <c r="AP42" s="111"/>
      <c r="AQ42" s="109">
        <f t="shared" si="15"/>
        <v>0</v>
      </c>
      <c r="AR42" s="110">
        <f t="shared" si="9"/>
        <v>0</v>
      </c>
      <c r="AS42" s="126"/>
      <c r="AT42" s="118"/>
      <c r="AU42" s="113" t="str">
        <f t="shared" si="10"/>
        <v>Trống</v>
      </c>
      <c r="AV42" s="114">
        <f t="shared" si="2"/>
        <v>0</v>
      </c>
      <c r="AW42" s="115"/>
      <c r="AX42" s="116"/>
      <c r="AY42" s="111"/>
      <c r="AZ42" s="111"/>
      <c r="BA42" s="111"/>
      <c r="BB42" s="111"/>
      <c r="BC42" s="111"/>
      <c r="BD42" s="111"/>
      <c r="BE42" s="111"/>
      <c r="BF42" s="111"/>
      <c r="BG42" s="111"/>
      <c r="BH42" s="116"/>
      <c r="BI42" s="111"/>
      <c r="BJ42" s="111"/>
      <c r="BK42" s="111"/>
      <c r="BL42" s="111"/>
      <c r="BM42" s="111"/>
      <c r="BN42" s="111"/>
      <c r="BO42" s="117"/>
      <c r="BP42" s="111"/>
      <c r="BQ42" s="117"/>
      <c r="BR42" s="111"/>
      <c r="BS42" s="111"/>
      <c r="BT42" s="111"/>
      <c r="BU42" s="111"/>
      <c r="BV42" s="111"/>
      <c r="BW42" s="111"/>
      <c r="BX42" s="111"/>
      <c r="BY42" s="111"/>
      <c r="BZ42" s="111"/>
      <c r="CA42" s="111"/>
      <c r="CB42" s="111"/>
      <c r="CC42" s="111"/>
    </row>
    <row r="43" spans="1:81" ht="16.5" customHeight="1">
      <c r="A43" s="101"/>
      <c r="B43" s="101"/>
      <c r="C43" s="102"/>
      <c r="D43" s="102"/>
      <c r="E43" s="111">
        <v>2</v>
      </c>
      <c r="F43" s="116"/>
      <c r="G43" s="106"/>
      <c r="H43" s="106"/>
      <c r="I43" s="106"/>
      <c r="J43" s="111">
        <v>30</v>
      </c>
      <c r="K43" s="111">
        <v>30</v>
      </c>
      <c r="L43" s="122"/>
      <c r="M43" s="116"/>
      <c r="N43" s="124"/>
      <c r="O43" s="111"/>
      <c r="P43" s="111"/>
      <c r="Q43" s="111">
        <f t="shared" si="11"/>
        <v>0</v>
      </c>
      <c r="R43" s="111">
        <v>3800</v>
      </c>
      <c r="S43" s="116">
        <f t="shared" si="12"/>
        <v>0</v>
      </c>
      <c r="T43" s="111"/>
      <c r="U43" s="111"/>
      <c r="V43" s="124"/>
      <c r="W43" s="111"/>
      <c r="X43" s="111">
        <f t="shared" si="5"/>
        <v>0</v>
      </c>
      <c r="Y43" s="124"/>
      <c r="Z43" s="111">
        <v>30000</v>
      </c>
      <c r="AA43" s="111">
        <f t="shared" si="13"/>
        <v>0</v>
      </c>
      <c r="AB43" s="111"/>
      <c r="AC43" s="111">
        <v>100000</v>
      </c>
      <c r="AD43" s="111">
        <f t="shared" si="14"/>
        <v>0</v>
      </c>
      <c r="AE43" s="111"/>
      <c r="AF43" s="111"/>
      <c r="AG43" s="111"/>
      <c r="AH43" s="111"/>
      <c r="AI43" s="111"/>
      <c r="AJ43" s="111"/>
      <c r="AK43" s="124"/>
      <c r="AL43" s="111"/>
      <c r="AM43" s="125"/>
      <c r="AN43" s="111"/>
      <c r="AO43" s="111"/>
      <c r="AP43" s="111"/>
      <c r="AQ43" s="109">
        <f t="shared" si="15"/>
        <v>0</v>
      </c>
      <c r="AR43" s="110">
        <f t="shared" si="9"/>
        <v>0</v>
      </c>
      <c r="AS43" s="111"/>
      <c r="AT43" s="118"/>
      <c r="AU43" s="113" t="str">
        <f t="shared" si="10"/>
        <v>Trống</v>
      </c>
      <c r="AV43" s="114">
        <f t="shared" si="2"/>
        <v>0</v>
      </c>
      <c r="AW43" s="115"/>
      <c r="AX43" s="116"/>
      <c r="AY43" s="111"/>
      <c r="AZ43" s="111"/>
      <c r="BA43" s="111"/>
      <c r="BB43" s="111"/>
      <c r="BC43" s="111"/>
      <c r="BD43" s="111"/>
      <c r="BE43" s="111"/>
      <c r="BF43" s="111"/>
      <c r="BG43" s="111"/>
      <c r="BH43" s="116"/>
      <c r="BI43" s="111"/>
      <c r="BJ43" s="111"/>
      <c r="BK43" s="111"/>
      <c r="BL43" s="111"/>
      <c r="BM43" s="111"/>
      <c r="BN43" s="111"/>
      <c r="BO43" s="117"/>
      <c r="BP43" s="111"/>
      <c r="BQ43" s="117"/>
      <c r="BR43" s="111"/>
      <c r="BS43" s="111"/>
      <c r="BT43" s="111"/>
      <c r="BU43" s="111"/>
      <c r="BV43" s="111"/>
      <c r="BW43" s="111"/>
      <c r="BX43" s="111"/>
      <c r="BY43" s="111"/>
      <c r="BZ43" s="111"/>
      <c r="CA43" s="111"/>
      <c r="CB43" s="111"/>
      <c r="CC43" s="111"/>
    </row>
    <row r="44" spans="1:81" ht="17.25" customHeight="1">
      <c r="A44" s="101"/>
      <c r="B44" s="101"/>
      <c r="C44" s="102"/>
      <c r="D44" s="102"/>
      <c r="E44" s="111">
        <v>1</v>
      </c>
      <c r="F44" s="116"/>
      <c r="G44" s="106"/>
      <c r="H44" s="106"/>
      <c r="I44" s="106"/>
      <c r="J44" s="111">
        <v>30</v>
      </c>
      <c r="K44" s="111">
        <v>30</v>
      </c>
      <c r="L44" s="122"/>
      <c r="M44" s="116"/>
      <c r="N44" s="124"/>
      <c r="O44" s="111"/>
      <c r="P44" s="111"/>
      <c r="Q44" s="111">
        <f t="shared" si="11"/>
        <v>0</v>
      </c>
      <c r="R44" s="111">
        <v>3800</v>
      </c>
      <c r="S44" s="116">
        <f t="shared" si="12"/>
        <v>0</v>
      </c>
      <c r="T44" s="111"/>
      <c r="U44" s="111"/>
      <c r="V44" s="124"/>
      <c r="W44" s="111"/>
      <c r="X44" s="111">
        <f t="shared" si="5"/>
        <v>0</v>
      </c>
      <c r="Y44" s="124"/>
      <c r="Z44" s="111">
        <v>30000</v>
      </c>
      <c r="AA44" s="111">
        <f t="shared" si="13"/>
        <v>0</v>
      </c>
      <c r="AB44" s="111"/>
      <c r="AC44" s="111">
        <v>100000</v>
      </c>
      <c r="AD44" s="111">
        <f t="shared" si="14"/>
        <v>0</v>
      </c>
      <c r="AE44" s="111"/>
      <c r="AF44" s="111"/>
      <c r="AG44" s="111"/>
      <c r="AH44" s="111"/>
      <c r="AI44" s="111"/>
      <c r="AJ44" s="111"/>
      <c r="AK44" s="124"/>
      <c r="AL44" s="111"/>
      <c r="AM44" s="125"/>
      <c r="AN44" s="111"/>
      <c r="AO44" s="111"/>
      <c r="AP44" s="111"/>
      <c r="AQ44" s="109">
        <f t="shared" si="15"/>
        <v>0</v>
      </c>
      <c r="AR44" s="110">
        <f t="shared" si="9"/>
        <v>0</v>
      </c>
      <c r="AS44" s="111"/>
      <c r="AT44" s="118"/>
      <c r="AU44" s="113" t="str">
        <f t="shared" si="10"/>
        <v>Trống</v>
      </c>
      <c r="AV44" s="114">
        <f t="shared" si="2"/>
        <v>0</v>
      </c>
      <c r="AW44" s="115"/>
      <c r="AX44" s="116"/>
      <c r="AY44" s="111"/>
      <c r="AZ44" s="111"/>
      <c r="BA44" s="111"/>
      <c r="BB44" s="111"/>
      <c r="BC44" s="111"/>
      <c r="BD44" s="111"/>
      <c r="BE44" s="111"/>
      <c r="BF44" s="111"/>
      <c r="BG44" s="111"/>
      <c r="BH44" s="116"/>
      <c r="BI44" s="111"/>
      <c r="BJ44" s="111"/>
      <c r="BK44" s="111"/>
      <c r="BL44" s="111"/>
      <c r="BM44" s="111"/>
      <c r="BN44" s="111"/>
      <c r="BO44" s="117"/>
      <c r="BP44" s="111"/>
      <c r="BQ44" s="117"/>
      <c r="BR44" s="111"/>
      <c r="BS44" s="111"/>
      <c r="BT44" s="111"/>
      <c r="BU44" s="111"/>
      <c r="BV44" s="111"/>
      <c r="BW44" s="111"/>
      <c r="BX44" s="111"/>
      <c r="BY44" s="111"/>
      <c r="BZ44" s="111"/>
      <c r="CA44" s="111"/>
      <c r="CB44" s="111"/>
      <c r="CC44" s="111"/>
    </row>
    <row r="45" spans="1:81" ht="18" customHeight="1">
      <c r="A45" s="101"/>
      <c r="B45" s="101"/>
      <c r="C45" s="102"/>
      <c r="D45" s="102"/>
      <c r="E45" s="111">
        <v>1</v>
      </c>
      <c r="F45" s="116"/>
      <c r="G45" s="106"/>
      <c r="H45" s="106"/>
      <c r="I45" s="106"/>
      <c r="J45" s="111">
        <v>30</v>
      </c>
      <c r="K45" s="111">
        <v>30</v>
      </c>
      <c r="L45" s="122"/>
      <c r="M45" s="116"/>
      <c r="N45" s="124"/>
      <c r="O45" s="111"/>
      <c r="P45" s="111"/>
      <c r="Q45" s="111">
        <f t="shared" si="11"/>
        <v>0</v>
      </c>
      <c r="R45" s="111">
        <v>3800</v>
      </c>
      <c r="S45" s="116">
        <f t="shared" si="12"/>
        <v>0</v>
      </c>
      <c r="T45" s="111"/>
      <c r="U45" s="111"/>
      <c r="V45" s="124"/>
      <c r="W45" s="111"/>
      <c r="X45" s="111">
        <f t="shared" si="5"/>
        <v>0</v>
      </c>
      <c r="Y45" s="124"/>
      <c r="Z45" s="111">
        <v>30000</v>
      </c>
      <c r="AA45" s="111">
        <f t="shared" si="13"/>
        <v>0</v>
      </c>
      <c r="AB45" s="111"/>
      <c r="AC45" s="111">
        <v>100000</v>
      </c>
      <c r="AD45" s="111">
        <f t="shared" si="14"/>
        <v>0</v>
      </c>
      <c r="AE45" s="111"/>
      <c r="AF45" s="111"/>
      <c r="AG45" s="111"/>
      <c r="AH45" s="111"/>
      <c r="AI45" s="111"/>
      <c r="AJ45" s="111"/>
      <c r="AK45" s="124"/>
      <c r="AL45" s="111"/>
      <c r="AM45" s="125"/>
      <c r="AN45" s="111"/>
      <c r="AO45" s="111"/>
      <c r="AP45" s="111"/>
      <c r="AQ45" s="109">
        <f t="shared" si="15"/>
        <v>0</v>
      </c>
      <c r="AR45" s="110">
        <f t="shared" si="9"/>
        <v>0</v>
      </c>
      <c r="AS45" s="111"/>
      <c r="AT45" s="118"/>
      <c r="AU45" s="113" t="str">
        <f t="shared" si="10"/>
        <v>Trống</v>
      </c>
      <c r="AV45" s="114">
        <f t="shared" si="2"/>
        <v>0</v>
      </c>
      <c r="AW45" s="115"/>
      <c r="AX45" s="116"/>
      <c r="AY45" s="111"/>
      <c r="AZ45" s="111"/>
      <c r="BA45" s="111"/>
      <c r="BB45" s="111"/>
      <c r="BC45" s="111"/>
      <c r="BD45" s="111"/>
      <c r="BE45" s="111"/>
      <c r="BF45" s="111"/>
      <c r="BG45" s="111"/>
      <c r="BH45" s="116"/>
      <c r="BI45" s="111"/>
      <c r="BJ45" s="111"/>
      <c r="BK45" s="111"/>
      <c r="BL45" s="111"/>
      <c r="BM45" s="111"/>
      <c r="BN45" s="111"/>
      <c r="BO45" s="117"/>
      <c r="BP45" s="111"/>
      <c r="BQ45" s="117"/>
      <c r="BR45" s="111"/>
      <c r="BS45" s="111"/>
      <c r="BT45" s="111"/>
      <c r="BU45" s="111"/>
      <c r="BV45" s="111"/>
      <c r="BW45" s="111"/>
      <c r="BX45" s="111"/>
      <c r="BY45" s="111"/>
      <c r="BZ45" s="111"/>
      <c r="CA45" s="111"/>
      <c r="CB45" s="111"/>
      <c r="CC45" s="111"/>
    </row>
    <row r="46" spans="1:81" ht="19.5" customHeight="1">
      <c r="A46" s="101"/>
      <c r="B46" s="101"/>
      <c r="C46" s="102"/>
      <c r="D46" s="102"/>
      <c r="E46" s="111">
        <v>1</v>
      </c>
      <c r="F46" s="116"/>
      <c r="G46" s="106"/>
      <c r="H46" s="106"/>
      <c r="I46" s="106"/>
      <c r="J46" s="111">
        <v>30</v>
      </c>
      <c r="K46" s="111">
        <v>30</v>
      </c>
      <c r="L46" s="122"/>
      <c r="M46" s="116"/>
      <c r="N46" s="124"/>
      <c r="O46" s="111"/>
      <c r="P46" s="111"/>
      <c r="Q46" s="111">
        <f t="shared" si="11"/>
        <v>0</v>
      </c>
      <c r="R46" s="111">
        <v>3800</v>
      </c>
      <c r="S46" s="116">
        <f t="shared" si="12"/>
        <v>0</v>
      </c>
      <c r="T46" s="111"/>
      <c r="U46" s="111"/>
      <c r="V46" s="124"/>
      <c r="W46" s="111"/>
      <c r="X46" s="111">
        <f t="shared" si="5"/>
        <v>0</v>
      </c>
      <c r="Y46" s="124"/>
      <c r="Z46" s="111">
        <v>30000</v>
      </c>
      <c r="AA46" s="111">
        <f t="shared" si="13"/>
        <v>0</v>
      </c>
      <c r="AB46" s="111"/>
      <c r="AC46" s="111">
        <v>100000</v>
      </c>
      <c r="AD46" s="111">
        <f t="shared" si="14"/>
        <v>0</v>
      </c>
      <c r="AE46" s="111"/>
      <c r="AF46" s="111"/>
      <c r="AG46" s="111"/>
      <c r="AH46" s="111"/>
      <c r="AI46" s="111"/>
      <c r="AJ46" s="111"/>
      <c r="AK46" s="124"/>
      <c r="AL46" s="111"/>
      <c r="AM46" s="125"/>
      <c r="AN46" s="111"/>
      <c r="AO46" s="111"/>
      <c r="AP46" s="111"/>
      <c r="AQ46" s="109">
        <f t="shared" si="15"/>
        <v>0</v>
      </c>
      <c r="AR46" s="110">
        <f t="shared" si="9"/>
        <v>0</v>
      </c>
      <c r="AS46" s="111"/>
      <c r="AT46" s="118"/>
      <c r="AU46" s="113" t="str">
        <f t="shared" si="10"/>
        <v>Trống</v>
      </c>
      <c r="AV46" s="114">
        <f t="shared" si="2"/>
        <v>0</v>
      </c>
      <c r="AW46" s="115"/>
      <c r="AX46" s="116"/>
      <c r="AY46" s="111"/>
      <c r="AZ46" s="111"/>
      <c r="BA46" s="111"/>
      <c r="BB46" s="111"/>
      <c r="BC46" s="111"/>
      <c r="BD46" s="111"/>
      <c r="BE46" s="111"/>
      <c r="BF46" s="111"/>
      <c r="BG46" s="111"/>
      <c r="BH46" s="116"/>
      <c r="BI46" s="111"/>
      <c r="BJ46" s="111"/>
      <c r="BK46" s="111"/>
      <c r="BL46" s="111"/>
      <c r="BM46" s="111"/>
      <c r="BN46" s="111"/>
      <c r="BO46" s="117"/>
      <c r="BP46" s="111"/>
      <c r="BQ46" s="117"/>
      <c r="BR46" s="111"/>
      <c r="BS46" s="111"/>
      <c r="BT46" s="111"/>
      <c r="BU46" s="111"/>
      <c r="BV46" s="111"/>
      <c r="BW46" s="111"/>
      <c r="BX46" s="111"/>
      <c r="BY46" s="111"/>
      <c r="BZ46" s="111"/>
      <c r="CA46" s="111"/>
      <c r="CB46" s="111"/>
      <c r="CC46" s="111"/>
    </row>
    <row r="47" spans="1:81" ht="15" customHeight="1">
      <c r="A47" s="101"/>
      <c r="B47" s="101"/>
      <c r="C47" s="102"/>
      <c r="D47" s="102"/>
      <c r="E47" s="111">
        <v>1</v>
      </c>
      <c r="F47" s="116"/>
      <c r="G47" s="106"/>
      <c r="H47" s="106"/>
      <c r="I47" s="106"/>
      <c r="J47" s="111">
        <v>30</v>
      </c>
      <c r="K47" s="111">
        <v>30</v>
      </c>
      <c r="L47" s="122"/>
      <c r="M47" s="116"/>
      <c r="N47" s="124"/>
      <c r="O47" s="111"/>
      <c r="P47" s="111"/>
      <c r="Q47" s="111">
        <f t="shared" si="11"/>
        <v>0</v>
      </c>
      <c r="R47" s="111">
        <v>3800</v>
      </c>
      <c r="S47" s="116">
        <f t="shared" si="12"/>
        <v>0</v>
      </c>
      <c r="T47" s="111"/>
      <c r="U47" s="111"/>
      <c r="V47" s="124"/>
      <c r="W47" s="111"/>
      <c r="X47" s="111">
        <f t="shared" si="5"/>
        <v>0</v>
      </c>
      <c r="Y47" s="124"/>
      <c r="Z47" s="111">
        <v>30000</v>
      </c>
      <c r="AA47" s="111">
        <f t="shared" si="13"/>
        <v>0</v>
      </c>
      <c r="AB47" s="111"/>
      <c r="AC47" s="111">
        <v>100000</v>
      </c>
      <c r="AD47" s="111">
        <f t="shared" si="14"/>
        <v>0</v>
      </c>
      <c r="AE47" s="111"/>
      <c r="AF47" s="111"/>
      <c r="AG47" s="111"/>
      <c r="AH47" s="111"/>
      <c r="AI47" s="111"/>
      <c r="AJ47" s="111"/>
      <c r="AK47" s="124"/>
      <c r="AL47" s="111"/>
      <c r="AM47" s="125"/>
      <c r="AN47" s="111"/>
      <c r="AO47" s="111"/>
      <c r="AP47" s="111"/>
      <c r="AQ47" s="109">
        <f t="shared" si="15"/>
        <v>0</v>
      </c>
      <c r="AR47" s="110">
        <f t="shared" si="9"/>
        <v>0</v>
      </c>
      <c r="AS47" s="111"/>
      <c r="AT47" s="118"/>
      <c r="AU47" s="113" t="str">
        <f t="shared" si="10"/>
        <v>Trống</v>
      </c>
      <c r="AV47" s="114">
        <f t="shared" si="2"/>
        <v>0</v>
      </c>
      <c r="AW47" s="115"/>
      <c r="AX47" s="116"/>
      <c r="AY47" s="111"/>
      <c r="AZ47" s="111"/>
      <c r="BA47" s="111"/>
      <c r="BB47" s="111"/>
      <c r="BC47" s="111"/>
      <c r="BD47" s="111"/>
      <c r="BE47" s="111"/>
      <c r="BF47" s="111"/>
      <c r="BG47" s="111"/>
      <c r="BH47" s="116"/>
      <c r="BI47" s="111"/>
      <c r="BJ47" s="111"/>
      <c r="BK47" s="111"/>
      <c r="BL47" s="111"/>
      <c r="BM47" s="111"/>
      <c r="BN47" s="111"/>
      <c r="BO47" s="117"/>
      <c r="BP47" s="111"/>
      <c r="BQ47" s="117"/>
      <c r="BR47" s="111"/>
      <c r="BS47" s="111"/>
      <c r="BT47" s="111"/>
      <c r="BU47" s="111"/>
      <c r="BV47" s="111"/>
      <c r="BW47" s="111"/>
      <c r="BX47" s="111"/>
      <c r="BY47" s="111"/>
      <c r="BZ47" s="111"/>
      <c r="CA47" s="111"/>
      <c r="CB47" s="111"/>
      <c r="CC47" s="111"/>
    </row>
    <row r="48" spans="1:81" ht="15.75" customHeight="1">
      <c r="A48" s="101"/>
      <c r="B48" s="101"/>
      <c r="C48" s="102"/>
      <c r="D48" s="102"/>
      <c r="E48" s="111">
        <v>1</v>
      </c>
      <c r="F48" s="116"/>
      <c r="G48" s="106"/>
      <c r="H48" s="106"/>
      <c r="I48" s="106"/>
      <c r="J48" s="111">
        <v>30</v>
      </c>
      <c r="K48" s="111">
        <v>30</v>
      </c>
      <c r="L48" s="122"/>
      <c r="M48" s="116"/>
      <c r="N48" s="124"/>
      <c r="O48" s="111"/>
      <c r="P48" s="111"/>
      <c r="Q48" s="111">
        <f t="shared" si="11"/>
        <v>0</v>
      </c>
      <c r="R48" s="111">
        <v>3800</v>
      </c>
      <c r="S48" s="116">
        <f t="shared" si="12"/>
        <v>0</v>
      </c>
      <c r="T48" s="111"/>
      <c r="U48" s="111"/>
      <c r="V48" s="124"/>
      <c r="W48" s="111"/>
      <c r="X48" s="111">
        <f t="shared" si="5"/>
        <v>0</v>
      </c>
      <c r="Y48" s="124"/>
      <c r="Z48" s="111">
        <v>30000</v>
      </c>
      <c r="AA48" s="111">
        <f t="shared" si="13"/>
        <v>0</v>
      </c>
      <c r="AB48" s="111"/>
      <c r="AC48" s="111">
        <v>100000</v>
      </c>
      <c r="AD48" s="111">
        <f t="shared" si="14"/>
        <v>0</v>
      </c>
      <c r="AE48" s="111"/>
      <c r="AF48" s="111"/>
      <c r="AG48" s="111"/>
      <c r="AH48" s="111"/>
      <c r="AI48" s="111"/>
      <c r="AJ48" s="111"/>
      <c r="AK48" s="124"/>
      <c r="AL48" s="111"/>
      <c r="AM48" s="125"/>
      <c r="AN48" s="111"/>
      <c r="AO48" s="111"/>
      <c r="AP48" s="111"/>
      <c r="AQ48" s="109">
        <f t="shared" si="15"/>
        <v>0</v>
      </c>
      <c r="AR48" s="110">
        <f t="shared" si="9"/>
        <v>0</v>
      </c>
      <c r="AS48" s="111"/>
      <c r="AT48" s="118"/>
      <c r="AU48" s="113" t="str">
        <f t="shared" si="10"/>
        <v>Trống</v>
      </c>
      <c r="AV48" s="114">
        <f t="shared" si="2"/>
        <v>0</v>
      </c>
      <c r="AW48" s="115"/>
      <c r="AX48" s="116"/>
      <c r="AY48" s="111"/>
      <c r="AZ48" s="111"/>
      <c r="BA48" s="111"/>
      <c r="BB48" s="111"/>
      <c r="BC48" s="111"/>
      <c r="BD48" s="111"/>
      <c r="BE48" s="111"/>
      <c r="BF48" s="111"/>
      <c r="BG48" s="111"/>
      <c r="BH48" s="116"/>
      <c r="BI48" s="111"/>
      <c r="BJ48" s="111"/>
      <c r="BK48" s="111"/>
      <c r="BL48" s="111"/>
      <c r="BM48" s="111"/>
      <c r="BN48" s="111"/>
      <c r="BO48" s="117"/>
      <c r="BP48" s="111"/>
      <c r="BQ48" s="117"/>
      <c r="BR48" s="111"/>
      <c r="BS48" s="111"/>
      <c r="BT48" s="111"/>
      <c r="BU48" s="111"/>
      <c r="BV48" s="111"/>
      <c r="BW48" s="111"/>
      <c r="BX48" s="111"/>
      <c r="BY48" s="111"/>
      <c r="BZ48" s="111"/>
      <c r="CA48" s="111"/>
      <c r="CB48" s="111"/>
      <c r="CC48" s="111"/>
    </row>
    <row r="49" spans="1:81" ht="16.5" customHeight="1">
      <c r="A49" s="101"/>
      <c r="B49" s="101"/>
      <c r="C49" s="102"/>
      <c r="D49" s="102"/>
      <c r="E49" s="111">
        <v>1</v>
      </c>
      <c r="F49" s="116"/>
      <c r="G49" s="106"/>
      <c r="H49" s="106"/>
      <c r="I49" s="106"/>
      <c r="J49" s="111">
        <v>30</v>
      </c>
      <c r="K49" s="111">
        <v>30</v>
      </c>
      <c r="L49" s="122"/>
      <c r="M49" s="116"/>
      <c r="N49" s="124"/>
      <c r="O49" s="111"/>
      <c r="P49" s="111"/>
      <c r="Q49" s="111">
        <f t="shared" si="11"/>
        <v>0</v>
      </c>
      <c r="R49" s="111">
        <v>3800</v>
      </c>
      <c r="S49" s="116">
        <f t="shared" si="12"/>
        <v>0</v>
      </c>
      <c r="T49" s="111"/>
      <c r="U49" s="111"/>
      <c r="V49" s="124"/>
      <c r="W49" s="111"/>
      <c r="X49" s="111">
        <f t="shared" si="5"/>
        <v>0</v>
      </c>
      <c r="Y49" s="124"/>
      <c r="Z49" s="111">
        <v>30000</v>
      </c>
      <c r="AA49" s="111">
        <f t="shared" si="13"/>
        <v>0</v>
      </c>
      <c r="AB49" s="111"/>
      <c r="AC49" s="111">
        <v>100000</v>
      </c>
      <c r="AD49" s="111">
        <f t="shared" si="14"/>
        <v>0</v>
      </c>
      <c r="AE49" s="111"/>
      <c r="AF49" s="111"/>
      <c r="AG49" s="111"/>
      <c r="AH49" s="111"/>
      <c r="AI49" s="111"/>
      <c r="AJ49" s="111"/>
      <c r="AK49" s="124"/>
      <c r="AL49" s="111"/>
      <c r="AM49" s="125"/>
      <c r="AN49" s="111"/>
      <c r="AO49" s="111"/>
      <c r="AP49" s="111"/>
      <c r="AQ49" s="109">
        <f t="shared" si="15"/>
        <v>0</v>
      </c>
      <c r="AR49" s="110">
        <f t="shared" si="9"/>
        <v>0</v>
      </c>
      <c r="AS49" s="111"/>
      <c r="AT49" s="118"/>
      <c r="AU49" s="113" t="str">
        <f t="shared" si="10"/>
        <v>Trống</v>
      </c>
      <c r="AV49" s="114">
        <f t="shared" si="2"/>
        <v>0</v>
      </c>
      <c r="AW49" s="115"/>
      <c r="AX49" s="116"/>
      <c r="AY49" s="111"/>
      <c r="AZ49" s="111"/>
      <c r="BA49" s="111"/>
      <c r="BB49" s="111"/>
      <c r="BC49" s="111"/>
      <c r="BD49" s="111"/>
      <c r="BE49" s="111"/>
      <c r="BF49" s="111"/>
      <c r="BG49" s="111"/>
      <c r="BH49" s="116"/>
      <c r="BI49" s="111"/>
      <c r="BJ49" s="111"/>
      <c r="BK49" s="111"/>
      <c r="BL49" s="111"/>
      <c r="BM49" s="111"/>
      <c r="BN49" s="111"/>
      <c r="BO49" s="117"/>
      <c r="BP49" s="111"/>
      <c r="BQ49" s="117"/>
      <c r="BR49" s="111"/>
      <c r="BS49" s="111"/>
      <c r="BT49" s="111"/>
      <c r="BU49" s="111"/>
      <c r="BV49" s="111"/>
      <c r="BW49" s="111"/>
      <c r="BX49" s="111"/>
      <c r="BY49" s="111"/>
      <c r="BZ49" s="111"/>
      <c r="CA49" s="111"/>
      <c r="CB49" s="111"/>
      <c r="CC49" s="111"/>
    </row>
    <row r="50" spans="1:81" ht="17.25" customHeight="1">
      <c r="A50" s="101"/>
      <c r="B50" s="101"/>
      <c r="C50" s="102"/>
      <c r="D50" s="102"/>
      <c r="E50" s="111">
        <v>1</v>
      </c>
      <c r="F50" s="116"/>
      <c r="G50" s="106"/>
      <c r="H50" s="106"/>
      <c r="I50" s="106"/>
      <c r="J50" s="111">
        <v>30</v>
      </c>
      <c r="K50" s="111">
        <v>30</v>
      </c>
      <c r="L50" s="122"/>
      <c r="M50" s="116"/>
      <c r="N50" s="124"/>
      <c r="O50" s="111"/>
      <c r="P50" s="111"/>
      <c r="Q50" s="111">
        <f t="shared" si="11"/>
        <v>0</v>
      </c>
      <c r="R50" s="111">
        <v>3800</v>
      </c>
      <c r="S50" s="116">
        <f t="shared" si="12"/>
        <v>0</v>
      </c>
      <c r="T50" s="111"/>
      <c r="U50" s="111"/>
      <c r="V50" s="124"/>
      <c r="W50" s="111"/>
      <c r="X50" s="111">
        <f t="shared" si="5"/>
        <v>0</v>
      </c>
      <c r="Y50" s="124"/>
      <c r="Z50" s="111">
        <v>30000</v>
      </c>
      <c r="AA50" s="111">
        <f t="shared" si="13"/>
        <v>0</v>
      </c>
      <c r="AB50" s="111"/>
      <c r="AC50" s="111">
        <v>100000</v>
      </c>
      <c r="AD50" s="111">
        <f t="shared" si="14"/>
        <v>0</v>
      </c>
      <c r="AE50" s="111"/>
      <c r="AF50" s="111"/>
      <c r="AG50" s="111"/>
      <c r="AH50" s="111"/>
      <c r="AI50" s="111"/>
      <c r="AJ50" s="111"/>
      <c r="AK50" s="124"/>
      <c r="AL50" s="111"/>
      <c r="AM50" s="125"/>
      <c r="AN50" s="111"/>
      <c r="AO50" s="111"/>
      <c r="AP50" s="111"/>
      <c r="AQ50" s="109">
        <f t="shared" si="15"/>
        <v>0</v>
      </c>
      <c r="AR50" s="110">
        <f t="shared" si="9"/>
        <v>0</v>
      </c>
      <c r="AS50" s="111"/>
      <c r="AT50" s="118"/>
      <c r="AU50" s="113" t="str">
        <f t="shared" si="10"/>
        <v>Trống</v>
      </c>
      <c r="AV50" s="114">
        <f t="shared" si="2"/>
        <v>0</v>
      </c>
      <c r="AW50" s="115"/>
      <c r="AX50" s="116"/>
      <c r="AY50" s="111"/>
      <c r="AZ50" s="111"/>
      <c r="BA50" s="111"/>
      <c r="BB50" s="111"/>
      <c r="BC50" s="111"/>
      <c r="BD50" s="111"/>
      <c r="BE50" s="111"/>
      <c r="BF50" s="111"/>
      <c r="BG50" s="111"/>
      <c r="BH50" s="116"/>
      <c r="BI50" s="111"/>
      <c r="BJ50" s="111"/>
      <c r="BK50" s="111"/>
      <c r="BL50" s="111"/>
      <c r="BM50" s="111"/>
      <c r="BN50" s="111"/>
      <c r="BO50" s="117"/>
      <c r="BP50" s="111"/>
      <c r="BQ50" s="117"/>
      <c r="BR50" s="111"/>
      <c r="BS50" s="111"/>
      <c r="BT50" s="111"/>
      <c r="BU50" s="111"/>
      <c r="BV50" s="111"/>
      <c r="BW50" s="111"/>
      <c r="BX50" s="111"/>
      <c r="BY50" s="111"/>
      <c r="BZ50" s="111"/>
      <c r="CA50" s="111"/>
      <c r="CB50" s="111"/>
      <c r="CC50" s="111"/>
    </row>
    <row r="51" spans="1:81" ht="17.25" customHeight="1">
      <c r="A51" s="101"/>
      <c r="B51" s="101"/>
      <c r="C51" s="102"/>
      <c r="D51" s="102"/>
      <c r="E51" s="111">
        <v>1</v>
      </c>
      <c r="F51" s="116"/>
      <c r="G51" s="106"/>
      <c r="H51" s="106"/>
      <c r="I51" s="106"/>
      <c r="J51" s="111">
        <v>30</v>
      </c>
      <c r="K51" s="111">
        <v>30</v>
      </c>
      <c r="L51" s="122"/>
      <c r="M51" s="116"/>
      <c r="N51" s="124"/>
      <c r="O51" s="111"/>
      <c r="P51" s="111"/>
      <c r="Q51" s="111">
        <f t="shared" si="11"/>
        <v>0</v>
      </c>
      <c r="R51" s="111">
        <v>3800</v>
      </c>
      <c r="S51" s="116">
        <f t="shared" si="12"/>
        <v>0</v>
      </c>
      <c r="T51" s="111"/>
      <c r="U51" s="111"/>
      <c r="V51" s="124"/>
      <c r="W51" s="111"/>
      <c r="X51" s="111">
        <f t="shared" si="5"/>
        <v>0</v>
      </c>
      <c r="Y51" s="124"/>
      <c r="Z51" s="111">
        <v>30000</v>
      </c>
      <c r="AA51" s="111">
        <f t="shared" si="13"/>
        <v>0</v>
      </c>
      <c r="AB51" s="111"/>
      <c r="AC51" s="111">
        <v>100000</v>
      </c>
      <c r="AD51" s="111">
        <f t="shared" si="14"/>
        <v>0</v>
      </c>
      <c r="AE51" s="111"/>
      <c r="AF51" s="111"/>
      <c r="AG51" s="111"/>
      <c r="AH51" s="111"/>
      <c r="AI51" s="111"/>
      <c r="AJ51" s="111"/>
      <c r="AK51" s="124"/>
      <c r="AL51" s="111"/>
      <c r="AM51" s="125"/>
      <c r="AN51" s="111"/>
      <c r="AO51" s="111"/>
      <c r="AP51" s="111"/>
      <c r="AQ51" s="109">
        <f t="shared" si="15"/>
        <v>0</v>
      </c>
      <c r="AR51" s="110">
        <f t="shared" si="9"/>
        <v>0</v>
      </c>
      <c r="AS51" s="111"/>
      <c r="AT51" s="118"/>
      <c r="AU51" s="113" t="str">
        <f t="shared" si="10"/>
        <v>Trống</v>
      </c>
      <c r="AV51" s="114">
        <f t="shared" si="2"/>
        <v>0</v>
      </c>
      <c r="AW51" s="115"/>
      <c r="AX51" s="116"/>
      <c r="AY51" s="111"/>
      <c r="AZ51" s="111"/>
      <c r="BA51" s="111"/>
      <c r="BB51" s="111"/>
      <c r="BC51" s="111"/>
      <c r="BD51" s="111"/>
      <c r="BE51" s="111"/>
      <c r="BF51" s="111"/>
      <c r="BG51" s="111"/>
      <c r="BH51" s="116"/>
      <c r="BI51" s="111"/>
      <c r="BJ51" s="111"/>
      <c r="BK51" s="111"/>
      <c r="BL51" s="111"/>
      <c r="BM51" s="111"/>
      <c r="BN51" s="111"/>
      <c r="BO51" s="117"/>
      <c r="BP51" s="111"/>
      <c r="BQ51" s="117"/>
      <c r="BR51" s="111"/>
      <c r="BS51" s="111"/>
      <c r="BT51" s="111"/>
      <c r="BU51" s="111"/>
      <c r="BV51" s="111"/>
      <c r="BW51" s="111"/>
      <c r="BX51" s="111"/>
      <c r="BY51" s="111"/>
      <c r="BZ51" s="111"/>
      <c r="CA51" s="111"/>
      <c r="CB51" s="111"/>
      <c r="CC51" s="111"/>
    </row>
    <row r="52" spans="1:81" ht="18" customHeight="1">
      <c r="A52" s="101"/>
      <c r="B52" s="101"/>
      <c r="C52" s="102"/>
      <c r="D52" s="102"/>
      <c r="E52" s="111">
        <v>1</v>
      </c>
      <c r="F52" s="116"/>
      <c r="G52" s="106"/>
      <c r="H52" s="106"/>
      <c r="I52" s="106"/>
      <c r="J52" s="111">
        <v>30</v>
      </c>
      <c r="K52" s="111">
        <v>30</v>
      </c>
      <c r="L52" s="122"/>
      <c r="M52" s="116"/>
      <c r="N52" s="124"/>
      <c r="O52" s="111"/>
      <c r="P52" s="111"/>
      <c r="Q52" s="111">
        <f t="shared" si="11"/>
        <v>0</v>
      </c>
      <c r="R52" s="111">
        <v>3800</v>
      </c>
      <c r="S52" s="116">
        <f t="shared" si="12"/>
        <v>0</v>
      </c>
      <c r="T52" s="111"/>
      <c r="U52" s="111"/>
      <c r="V52" s="124"/>
      <c r="W52" s="111"/>
      <c r="X52" s="111">
        <f t="shared" si="5"/>
        <v>0</v>
      </c>
      <c r="Y52" s="124"/>
      <c r="Z52" s="111">
        <v>30000</v>
      </c>
      <c r="AA52" s="111">
        <f t="shared" si="13"/>
        <v>0</v>
      </c>
      <c r="AB52" s="111"/>
      <c r="AC52" s="111">
        <v>100000</v>
      </c>
      <c r="AD52" s="111">
        <f t="shared" si="14"/>
        <v>0</v>
      </c>
      <c r="AE52" s="111"/>
      <c r="AF52" s="111"/>
      <c r="AG52" s="111"/>
      <c r="AH52" s="111"/>
      <c r="AI52" s="111"/>
      <c r="AJ52" s="111"/>
      <c r="AK52" s="124"/>
      <c r="AL52" s="111"/>
      <c r="AM52" s="125"/>
      <c r="AN52" s="111"/>
      <c r="AO52" s="111"/>
      <c r="AP52" s="111"/>
      <c r="AQ52" s="109">
        <f>(SUM(S52,X52,AA52,AD52,AG52,AJ52,AM52,AP52)/28)*11</f>
        <v>0</v>
      </c>
      <c r="AR52" s="110">
        <f t="shared" si="9"/>
        <v>0</v>
      </c>
      <c r="AS52" s="111"/>
      <c r="AT52" s="118"/>
      <c r="AU52" s="113" t="str">
        <f t="shared" si="10"/>
        <v>Trống</v>
      </c>
      <c r="AV52" s="114">
        <f t="shared" si="2"/>
        <v>0</v>
      </c>
      <c r="AW52" s="115"/>
      <c r="AX52" s="116"/>
      <c r="AY52" s="111"/>
      <c r="AZ52" s="111"/>
      <c r="BA52" s="111"/>
      <c r="BB52" s="111"/>
      <c r="BC52" s="111"/>
      <c r="BD52" s="111"/>
      <c r="BE52" s="111"/>
      <c r="BF52" s="111"/>
      <c r="BG52" s="111"/>
      <c r="BH52" s="116"/>
      <c r="BI52" s="111"/>
      <c r="BJ52" s="111"/>
      <c r="BK52" s="111"/>
      <c r="BL52" s="111"/>
      <c r="BM52" s="111"/>
      <c r="BN52" s="111"/>
      <c r="BO52" s="117"/>
      <c r="BP52" s="111"/>
      <c r="BQ52" s="117"/>
      <c r="BR52" s="111"/>
      <c r="BS52" s="111"/>
      <c r="BT52" s="111"/>
      <c r="BU52" s="111"/>
      <c r="BV52" s="111"/>
      <c r="BW52" s="111"/>
      <c r="BX52" s="111"/>
      <c r="BY52" s="111"/>
      <c r="BZ52" s="111"/>
      <c r="CA52" s="111"/>
      <c r="CB52" s="111"/>
      <c r="CC52" s="111"/>
    </row>
    <row r="53" spans="1:81" ht="18" customHeight="1">
      <c r="A53" s="101"/>
      <c r="B53" s="101"/>
      <c r="C53" s="102"/>
      <c r="D53" s="102"/>
      <c r="E53" s="111">
        <v>1</v>
      </c>
      <c r="F53" s="116"/>
      <c r="G53" s="116"/>
      <c r="H53" s="116"/>
      <c r="I53" s="116"/>
      <c r="J53" s="111">
        <v>30</v>
      </c>
      <c r="K53" s="111">
        <v>30</v>
      </c>
      <c r="L53" s="122"/>
      <c r="M53" s="116"/>
      <c r="N53" s="124"/>
      <c r="O53" s="111"/>
      <c r="P53" s="111"/>
      <c r="Q53" s="111">
        <f t="shared" si="11"/>
        <v>0</v>
      </c>
      <c r="R53" s="111">
        <v>3800</v>
      </c>
      <c r="S53" s="116">
        <f t="shared" si="12"/>
        <v>0</v>
      </c>
      <c r="T53" s="111"/>
      <c r="U53" s="111"/>
      <c r="V53" s="124"/>
      <c r="W53" s="111"/>
      <c r="X53" s="111">
        <f t="shared" si="5"/>
        <v>0</v>
      </c>
      <c r="Y53" s="124"/>
      <c r="Z53" s="111">
        <v>30000</v>
      </c>
      <c r="AA53" s="111">
        <f t="shared" si="13"/>
        <v>0</v>
      </c>
      <c r="AB53" s="111"/>
      <c r="AC53" s="111">
        <v>100000</v>
      </c>
      <c r="AD53" s="111">
        <f t="shared" si="14"/>
        <v>0</v>
      </c>
      <c r="AE53" s="111"/>
      <c r="AF53" s="111"/>
      <c r="AG53" s="111"/>
      <c r="AH53" s="111"/>
      <c r="AI53" s="111"/>
      <c r="AJ53" s="111"/>
      <c r="AK53" s="124"/>
      <c r="AL53" s="111"/>
      <c r="AM53" s="125"/>
      <c r="AN53" s="111"/>
      <c r="AO53" s="111"/>
      <c r="AP53" s="111"/>
      <c r="AQ53" s="109">
        <f t="shared" ref="AQ53:AQ105" si="16">SUM(S53,X53,AA53,AD53,AG53,AJ53,AM53,AP53)</f>
        <v>0</v>
      </c>
      <c r="AR53" s="110">
        <f t="shared" si="9"/>
        <v>0</v>
      </c>
      <c r="AS53" s="111"/>
      <c r="AT53" s="118"/>
      <c r="AU53" s="113" t="str">
        <f t="shared" si="10"/>
        <v>Trống</v>
      </c>
      <c r="AV53" s="114">
        <f t="shared" si="2"/>
        <v>0</v>
      </c>
      <c r="AW53" s="115"/>
      <c r="AX53" s="116"/>
      <c r="AY53" s="111"/>
      <c r="AZ53" s="111"/>
      <c r="BA53" s="111"/>
      <c r="BB53" s="111"/>
      <c r="BC53" s="111"/>
      <c r="BD53" s="111"/>
      <c r="BE53" s="111"/>
      <c r="BF53" s="111"/>
      <c r="BG53" s="111"/>
      <c r="BH53" s="116"/>
      <c r="BI53" s="111"/>
      <c r="BJ53" s="111"/>
      <c r="BK53" s="111"/>
      <c r="BL53" s="111"/>
      <c r="BM53" s="111"/>
      <c r="BN53" s="111"/>
      <c r="BO53" s="117"/>
      <c r="BP53" s="111"/>
      <c r="BQ53" s="117"/>
      <c r="BR53" s="111"/>
      <c r="BS53" s="111"/>
      <c r="BT53" s="111"/>
      <c r="BU53" s="111"/>
      <c r="BV53" s="111"/>
      <c r="BW53" s="111"/>
      <c r="BX53" s="111"/>
      <c r="BY53" s="111"/>
      <c r="BZ53" s="111"/>
      <c r="CA53" s="111"/>
      <c r="CB53" s="111"/>
      <c r="CC53" s="111"/>
    </row>
    <row r="54" spans="1:81" ht="18.75" customHeight="1">
      <c r="A54" s="101"/>
      <c r="B54" s="101"/>
      <c r="C54" s="102"/>
      <c r="D54" s="102"/>
      <c r="E54" s="111">
        <v>1</v>
      </c>
      <c r="F54" s="116"/>
      <c r="G54" s="116"/>
      <c r="H54" s="116"/>
      <c r="I54" s="116"/>
      <c r="J54" s="111">
        <v>30</v>
      </c>
      <c r="K54" s="111">
        <v>30</v>
      </c>
      <c r="L54" s="122"/>
      <c r="M54" s="116"/>
      <c r="N54" s="124"/>
      <c r="O54" s="111"/>
      <c r="P54" s="111"/>
      <c r="Q54" s="111">
        <f t="shared" si="11"/>
        <v>0</v>
      </c>
      <c r="R54" s="111">
        <v>3800</v>
      </c>
      <c r="S54" s="116">
        <f t="shared" si="12"/>
        <v>0</v>
      </c>
      <c r="T54" s="111"/>
      <c r="U54" s="111"/>
      <c r="V54" s="124"/>
      <c r="W54" s="111"/>
      <c r="X54" s="111">
        <f t="shared" si="5"/>
        <v>0</v>
      </c>
      <c r="Y54" s="124"/>
      <c r="Z54" s="111">
        <v>30000</v>
      </c>
      <c r="AA54" s="111">
        <f t="shared" si="13"/>
        <v>0</v>
      </c>
      <c r="AB54" s="111"/>
      <c r="AC54" s="111">
        <v>100000</v>
      </c>
      <c r="AD54" s="111">
        <f t="shared" si="14"/>
        <v>0</v>
      </c>
      <c r="AE54" s="111"/>
      <c r="AF54" s="111"/>
      <c r="AG54" s="111"/>
      <c r="AH54" s="111"/>
      <c r="AI54" s="111"/>
      <c r="AJ54" s="111"/>
      <c r="AK54" s="124"/>
      <c r="AL54" s="111"/>
      <c r="AM54" s="125"/>
      <c r="AN54" s="111"/>
      <c r="AO54" s="111"/>
      <c r="AP54" s="111"/>
      <c r="AQ54" s="109">
        <f t="shared" si="16"/>
        <v>0</v>
      </c>
      <c r="AR54" s="110">
        <f t="shared" si="9"/>
        <v>0</v>
      </c>
      <c r="AS54" s="111"/>
      <c r="AT54" s="118"/>
      <c r="AU54" s="113" t="str">
        <f t="shared" si="10"/>
        <v>Trống</v>
      </c>
      <c r="AV54" s="114">
        <f t="shared" si="2"/>
        <v>0</v>
      </c>
      <c r="AW54" s="115"/>
      <c r="AX54" s="116"/>
      <c r="AY54" s="111"/>
      <c r="AZ54" s="111"/>
      <c r="BA54" s="111"/>
      <c r="BB54" s="111"/>
      <c r="BC54" s="111"/>
      <c r="BD54" s="111"/>
      <c r="BE54" s="111"/>
      <c r="BF54" s="111"/>
      <c r="BG54" s="111"/>
      <c r="BH54" s="116"/>
      <c r="BI54" s="111"/>
      <c r="BJ54" s="111"/>
      <c r="BK54" s="111"/>
      <c r="BL54" s="111"/>
      <c r="BM54" s="111"/>
      <c r="BN54" s="111"/>
      <c r="BO54" s="117"/>
      <c r="BP54" s="111"/>
      <c r="BQ54" s="117"/>
      <c r="BR54" s="111"/>
      <c r="BS54" s="111"/>
      <c r="BT54" s="111"/>
      <c r="BU54" s="111"/>
      <c r="BV54" s="111"/>
      <c r="BW54" s="111"/>
      <c r="BX54" s="111"/>
      <c r="BY54" s="111"/>
      <c r="BZ54" s="111"/>
      <c r="CA54" s="111"/>
      <c r="CB54" s="111"/>
      <c r="CC54" s="111"/>
    </row>
    <row r="55" spans="1:81" ht="14.25" customHeight="1">
      <c r="A55" s="101"/>
      <c r="B55" s="101"/>
      <c r="C55" s="102"/>
      <c r="D55" s="102"/>
      <c r="E55" s="111">
        <v>1</v>
      </c>
      <c r="F55" s="116"/>
      <c r="G55" s="116"/>
      <c r="H55" s="116"/>
      <c r="I55" s="116"/>
      <c r="J55" s="111">
        <v>30</v>
      </c>
      <c r="K55" s="111">
        <v>30</v>
      </c>
      <c r="L55" s="122"/>
      <c r="M55" s="116"/>
      <c r="N55" s="124"/>
      <c r="O55" s="111"/>
      <c r="P55" s="111"/>
      <c r="Q55" s="111">
        <f t="shared" si="11"/>
        <v>0</v>
      </c>
      <c r="R55" s="111">
        <v>3800</v>
      </c>
      <c r="S55" s="116">
        <f t="shared" si="12"/>
        <v>0</v>
      </c>
      <c r="T55" s="111"/>
      <c r="U55" s="111"/>
      <c r="V55" s="124"/>
      <c r="W55" s="111"/>
      <c r="X55" s="111">
        <f t="shared" si="5"/>
        <v>0</v>
      </c>
      <c r="Y55" s="124"/>
      <c r="Z55" s="111">
        <v>30000</v>
      </c>
      <c r="AA55" s="111">
        <f t="shared" si="13"/>
        <v>0</v>
      </c>
      <c r="AB55" s="111"/>
      <c r="AC55" s="111">
        <v>100000</v>
      </c>
      <c r="AD55" s="111">
        <f t="shared" si="14"/>
        <v>0</v>
      </c>
      <c r="AE55" s="111"/>
      <c r="AF55" s="111"/>
      <c r="AG55" s="111"/>
      <c r="AH55" s="111"/>
      <c r="AI55" s="111"/>
      <c r="AJ55" s="111"/>
      <c r="AK55" s="124"/>
      <c r="AL55" s="111"/>
      <c r="AM55" s="125"/>
      <c r="AN55" s="111"/>
      <c r="AO55" s="111"/>
      <c r="AP55" s="111"/>
      <c r="AQ55" s="109">
        <f t="shared" si="16"/>
        <v>0</v>
      </c>
      <c r="AR55" s="110">
        <f t="shared" si="9"/>
        <v>0</v>
      </c>
      <c r="AS55" s="111"/>
      <c r="AT55" s="118"/>
      <c r="AU55" s="113" t="str">
        <f t="shared" si="10"/>
        <v>Trống</v>
      </c>
      <c r="AV55" s="114">
        <f t="shared" si="2"/>
        <v>0</v>
      </c>
      <c r="AW55" s="115"/>
      <c r="AX55" s="116"/>
      <c r="AY55" s="111"/>
      <c r="AZ55" s="111"/>
      <c r="BA55" s="111"/>
      <c r="BB55" s="111"/>
      <c r="BC55" s="111"/>
      <c r="BD55" s="111"/>
      <c r="BE55" s="111"/>
      <c r="BF55" s="111"/>
      <c r="BG55" s="111"/>
      <c r="BH55" s="116"/>
      <c r="BI55" s="111"/>
      <c r="BJ55" s="111"/>
      <c r="BK55" s="111"/>
      <c r="BL55" s="111"/>
      <c r="BM55" s="111"/>
      <c r="BN55" s="111"/>
      <c r="BO55" s="117"/>
      <c r="BP55" s="111"/>
      <c r="BQ55" s="117"/>
      <c r="BR55" s="111"/>
      <c r="BS55" s="111"/>
      <c r="BT55" s="111"/>
      <c r="BU55" s="111"/>
      <c r="BV55" s="111"/>
      <c r="BW55" s="111"/>
      <c r="BX55" s="111"/>
      <c r="BY55" s="111"/>
      <c r="BZ55" s="111"/>
      <c r="CA55" s="111"/>
      <c r="CB55" s="111"/>
      <c r="CC55" s="111"/>
    </row>
    <row r="56" spans="1:81" ht="17.25" customHeight="1">
      <c r="A56" s="101"/>
      <c r="B56" s="101"/>
      <c r="C56" s="102"/>
      <c r="D56" s="102"/>
      <c r="E56" s="111">
        <v>1</v>
      </c>
      <c r="F56" s="116"/>
      <c r="G56" s="116"/>
      <c r="H56" s="116"/>
      <c r="I56" s="116"/>
      <c r="J56" s="111">
        <v>30</v>
      </c>
      <c r="K56" s="111">
        <v>30</v>
      </c>
      <c r="L56" s="122"/>
      <c r="M56" s="116"/>
      <c r="N56" s="124"/>
      <c r="O56" s="111"/>
      <c r="P56" s="111"/>
      <c r="Q56" s="111">
        <f t="shared" si="11"/>
        <v>0</v>
      </c>
      <c r="R56" s="111">
        <v>3800</v>
      </c>
      <c r="S56" s="116">
        <f t="shared" si="12"/>
        <v>0</v>
      </c>
      <c r="T56" s="111"/>
      <c r="U56" s="111"/>
      <c r="V56" s="124"/>
      <c r="W56" s="111"/>
      <c r="X56" s="111">
        <f t="shared" si="5"/>
        <v>0</v>
      </c>
      <c r="Y56" s="124"/>
      <c r="Z56" s="111">
        <v>30000</v>
      </c>
      <c r="AA56" s="111">
        <f t="shared" si="13"/>
        <v>0</v>
      </c>
      <c r="AB56" s="111"/>
      <c r="AC56" s="111">
        <v>100000</v>
      </c>
      <c r="AD56" s="111">
        <f t="shared" si="14"/>
        <v>0</v>
      </c>
      <c r="AE56" s="111"/>
      <c r="AF56" s="111"/>
      <c r="AG56" s="111"/>
      <c r="AH56" s="111"/>
      <c r="AI56" s="111"/>
      <c r="AJ56" s="111"/>
      <c r="AK56" s="124"/>
      <c r="AL56" s="111"/>
      <c r="AM56" s="125">
        <f t="shared" ref="AM56:AM78" si="17">AK56*AL56</f>
        <v>0</v>
      </c>
      <c r="AN56" s="111"/>
      <c r="AO56" s="111"/>
      <c r="AP56" s="111"/>
      <c r="AQ56" s="109">
        <f t="shared" si="16"/>
        <v>0</v>
      </c>
      <c r="AR56" s="110">
        <f t="shared" si="9"/>
        <v>0</v>
      </c>
      <c r="AS56" s="111"/>
      <c r="AT56" s="118"/>
      <c r="AU56" s="113" t="str">
        <f t="shared" si="10"/>
        <v>Trống</v>
      </c>
      <c r="AV56" s="114">
        <f t="shared" si="2"/>
        <v>0</v>
      </c>
      <c r="AW56" s="115"/>
      <c r="AX56" s="116"/>
      <c r="AY56" s="111"/>
      <c r="AZ56" s="111"/>
      <c r="BA56" s="111"/>
      <c r="BB56" s="111"/>
      <c r="BC56" s="111"/>
      <c r="BD56" s="111"/>
      <c r="BE56" s="111"/>
      <c r="BF56" s="111"/>
      <c r="BG56" s="111"/>
      <c r="BH56" s="116"/>
      <c r="BI56" s="111"/>
      <c r="BJ56" s="111"/>
      <c r="BK56" s="111"/>
      <c r="BL56" s="111"/>
      <c r="BM56" s="111"/>
      <c r="BN56" s="111"/>
      <c r="BO56" s="117"/>
      <c r="BP56" s="111"/>
      <c r="BQ56" s="117"/>
      <c r="BR56" s="111"/>
      <c r="BS56" s="111"/>
      <c r="BT56" s="111"/>
      <c r="BU56" s="111"/>
      <c r="BV56" s="111"/>
      <c r="BW56" s="111"/>
      <c r="BX56" s="111"/>
      <c r="BY56" s="111"/>
      <c r="BZ56" s="111"/>
      <c r="CA56" s="111"/>
      <c r="CB56" s="111"/>
      <c r="CC56" s="111"/>
    </row>
    <row r="57" spans="1:81" ht="15.75" customHeight="1">
      <c r="A57" s="101"/>
      <c r="B57" s="101"/>
      <c r="C57" s="102"/>
      <c r="D57" s="102"/>
      <c r="E57" s="111">
        <v>1</v>
      </c>
      <c r="F57" s="116"/>
      <c r="G57" s="116"/>
      <c r="H57" s="116"/>
      <c r="I57" s="116"/>
      <c r="J57" s="111">
        <v>30</v>
      </c>
      <c r="K57" s="111">
        <v>30</v>
      </c>
      <c r="L57" s="122"/>
      <c r="M57" s="116"/>
      <c r="N57" s="124"/>
      <c r="O57" s="111"/>
      <c r="P57" s="111"/>
      <c r="Q57" s="111">
        <f t="shared" si="11"/>
        <v>0</v>
      </c>
      <c r="R57" s="111">
        <v>3800</v>
      </c>
      <c r="S57" s="116">
        <f t="shared" si="12"/>
        <v>0</v>
      </c>
      <c r="T57" s="111"/>
      <c r="U57" s="111"/>
      <c r="V57" s="124"/>
      <c r="W57" s="111"/>
      <c r="X57" s="111">
        <f t="shared" si="5"/>
        <v>0</v>
      </c>
      <c r="Y57" s="124"/>
      <c r="Z57" s="111">
        <v>30000</v>
      </c>
      <c r="AA57" s="111">
        <f t="shared" si="13"/>
        <v>0</v>
      </c>
      <c r="AB57" s="111"/>
      <c r="AC57" s="111">
        <v>100000</v>
      </c>
      <c r="AD57" s="111">
        <f t="shared" si="14"/>
        <v>0</v>
      </c>
      <c r="AE57" s="111"/>
      <c r="AF57" s="111"/>
      <c r="AG57" s="111"/>
      <c r="AH57" s="111"/>
      <c r="AI57" s="111"/>
      <c r="AJ57" s="111"/>
      <c r="AK57" s="124"/>
      <c r="AL57" s="111"/>
      <c r="AM57" s="125">
        <f t="shared" si="17"/>
        <v>0</v>
      </c>
      <c r="AN57" s="111"/>
      <c r="AO57" s="111"/>
      <c r="AP57" s="111"/>
      <c r="AQ57" s="109">
        <f t="shared" si="16"/>
        <v>0</v>
      </c>
      <c r="AR57" s="110">
        <f t="shared" si="9"/>
        <v>0</v>
      </c>
      <c r="AS57" s="111"/>
      <c r="AT57" s="118"/>
      <c r="AU57" s="113" t="str">
        <f t="shared" si="10"/>
        <v>Trống</v>
      </c>
      <c r="AV57" s="114">
        <f t="shared" si="2"/>
        <v>0</v>
      </c>
      <c r="AW57" s="115"/>
      <c r="AX57" s="116"/>
      <c r="AY57" s="111"/>
      <c r="AZ57" s="111"/>
      <c r="BA57" s="111"/>
      <c r="BB57" s="111"/>
      <c r="BC57" s="111"/>
      <c r="BD57" s="111"/>
      <c r="BE57" s="111"/>
      <c r="BF57" s="111"/>
      <c r="BG57" s="111"/>
      <c r="BH57" s="116"/>
      <c r="BI57" s="111"/>
      <c r="BJ57" s="111"/>
      <c r="BK57" s="111"/>
      <c r="BL57" s="111"/>
      <c r="BM57" s="111"/>
      <c r="BN57" s="111"/>
      <c r="BO57" s="117"/>
      <c r="BP57" s="111"/>
      <c r="BQ57" s="117"/>
      <c r="BR57" s="111"/>
      <c r="BS57" s="111"/>
      <c r="BT57" s="111"/>
      <c r="BU57" s="111"/>
      <c r="BV57" s="111"/>
      <c r="BW57" s="111"/>
      <c r="BX57" s="111"/>
      <c r="BY57" s="111"/>
      <c r="BZ57" s="111"/>
      <c r="CA57" s="111"/>
      <c r="CB57" s="111"/>
      <c r="CC57" s="111"/>
    </row>
    <row r="58" spans="1:81" ht="16.5" customHeight="1">
      <c r="A58" s="101"/>
      <c r="B58" s="101"/>
      <c r="C58" s="102"/>
      <c r="D58" s="102"/>
      <c r="E58" s="111">
        <v>1</v>
      </c>
      <c r="F58" s="116"/>
      <c r="G58" s="116"/>
      <c r="H58" s="116"/>
      <c r="I58" s="116"/>
      <c r="J58" s="111">
        <v>30</v>
      </c>
      <c r="K58" s="111">
        <v>30</v>
      </c>
      <c r="L58" s="122"/>
      <c r="M58" s="116"/>
      <c r="N58" s="124"/>
      <c r="O58" s="111"/>
      <c r="P58" s="111"/>
      <c r="Q58" s="111">
        <f t="shared" si="11"/>
        <v>0</v>
      </c>
      <c r="R58" s="111">
        <v>3800</v>
      </c>
      <c r="S58" s="116">
        <f t="shared" si="12"/>
        <v>0</v>
      </c>
      <c r="T58" s="111"/>
      <c r="U58" s="111"/>
      <c r="V58" s="124"/>
      <c r="W58" s="111"/>
      <c r="X58" s="111">
        <f t="shared" si="5"/>
        <v>0</v>
      </c>
      <c r="Y58" s="124"/>
      <c r="Z58" s="111">
        <v>30000</v>
      </c>
      <c r="AA58" s="111">
        <f t="shared" si="13"/>
        <v>0</v>
      </c>
      <c r="AB58" s="111"/>
      <c r="AC58" s="111">
        <v>100000</v>
      </c>
      <c r="AD58" s="111">
        <f t="shared" si="14"/>
        <v>0</v>
      </c>
      <c r="AE58" s="111"/>
      <c r="AF58" s="111"/>
      <c r="AG58" s="111"/>
      <c r="AH58" s="111"/>
      <c r="AI58" s="111"/>
      <c r="AJ58" s="111"/>
      <c r="AK58" s="124"/>
      <c r="AL58" s="111"/>
      <c r="AM58" s="125">
        <f t="shared" si="17"/>
        <v>0</v>
      </c>
      <c r="AN58" s="111"/>
      <c r="AO58" s="111"/>
      <c r="AP58" s="111"/>
      <c r="AQ58" s="109">
        <f t="shared" si="16"/>
        <v>0</v>
      </c>
      <c r="AR58" s="110">
        <f t="shared" si="9"/>
        <v>0</v>
      </c>
      <c r="AS58" s="111"/>
      <c r="AT58" s="118"/>
      <c r="AU58" s="113" t="str">
        <f t="shared" si="10"/>
        <v>Trống</v>
      </c>
      <c r="AV58" s="114">
        <f t="shared" si="2"/>
        <v>0</v>
      </c>
      <c r="AW58" s="115"/>
      <c r="AX58" s="116"/>
      <c r="AY58" s="111"/>
      <c r="AZ58" s="111"/>
      <c r="BA58" s="111"/>
      <c r="BB58" s="111"/>
      <c r="BC58" s="111"/>
      <c r="BD58" s="111"/>
      <c r="BE58" s="111"/>
      <c r="BF58" s="111"/>
      <c r="BG58" s="111"/>
      <c r="BH58" s="116"/>
      <c r="BI58" s="111"/>
      <c r="BJ58" s="111"/>
      <c r="BK58" s="111"/>
      <c r="BL58" s="111"/>
      <c r="BM58" s="111"/>
      <c r="BN58" s="111"/>
      <c r="BO58" s="117"/>
      <c r="BP58" s="111"/>
      <c r="BQ58" s="117"/>
      <c r="BR58" s="111"/>
      <c r="BS58" s="111"/>
      <c r="BT58" s="111"/>
      <c r="BU58" s="111"/>
      <c r="BV58" s="111"/>
      <c r="BW58" s="111"/>
      <c r="BX58" s="111"/>
      <c r="BY58" s="111"/>
      <c r="BZ58" s="111"/>
      <c r="CA58" s="111"/>
      <c r="CB58" s="111"/>
      <c r="CC58" s="111"/>
    </row>
    <row r="59" spans="1:81" ht="15" customHeight="1">
      <c r="A59" s="101"/>
      <c r="B59" s="101"/>
      <c r="C59" s="102"/>
      <c r="D59" s="102"/>
      <c r="E59" s="111"/>
      <c r="F59" s="116"/>
      <c r="G59" s="116"/>
      <c r="H59" s="116"/>
      <c r="I59" s="116"/>
      <c r="J59" s="111"/>
      <c r="K59" s="111"/>
      <c r="L59" s="122"/>
      <c r="M59" s="116"/>
      <c r="N59" s="124"/>
      <c r="O59" s="111"/>
      <c r="P59" s="111"/>
      <c r="Q59" s="111">
        <f t="shared" si="11"/>
        <v>0</v>
      </c>
      <c r="R59" s="111">
        <v>3800</v>
      </c>
      <c r="S59" s="116">
        <f t="shared" si="12"/>
        <v>0</v>
      </c>
      <c r="T59" s="111"/>
      <c r="U59" s="111"/>
      <c r="V59" s="124"/>
      <c r="W59" s="111"/>
      <c r="X59" s="111">
        <f t="shared" si="5"/>
        <v>0</v>
      </c>
      <c r="Y59" s="124"/>
      <c r="Z59" s="111">
        <v>30000</v>
      </c>
      <c r="AA59" s="111">
        <f t="shared" si="13"/>
        <v>0</v>
      </c>
      <c r="AB59" s="111"/>
      <c r="AC59" s="111">
        <v>100000</v>
      </c>
      <c r="AD59" s="111">
        <f t="shared" si="14"/>
        <v>0</v>
      </c>
      <c r="AE59" s="111"/>
      <c r="AF59" s="111"/>
      <c r="AG59" s="111"/>
      <c r="AH59" s="111"/>
      <c r="AI59" s="111"/>
      <c r="AJ59" s="111"/>
      <c r="AK59" s="124"/>
      <c r="AL59" s="111"/>
      <c r="AM59" s="125">
        <f t="shared" si="17"/>
        <v>0</v>
      </c>
      <c r="AN59" s="111"/>
      <c r="AO59" s="111"/>
      <c r="AP59" s="111"/>
      <c r="AQ59" s="109">
        <f t="shared" si="16"/>
        <v>0</v>
      </c>
      <c r="AR59" s="110">
        <f t="shared" si="9"/>
        <v>0</v>
      </c>
      <c r="AS59" s="111"/>
      <c r="AT59" s="118"/>
      <c r="AU59" s="113" t="str">
        <f t="shared" si="10"/>
        <v>Trống</v>
      </c>
      <c r="AV59" s="114">
        <f t="shared" si="2"/>
        <v>0</v>
      </c>
      <c r="AW59" s="115"/>
      <c r="AX59" s="116"/>
      <c r="AY59" s="111"/>
      <c r="AZ59" s="111"/>
      <c r="BA59" s="111"/>
      <c r="BB59" s="111"/>
      <c r="BC59" s="111"/>
      <c r="BD59" s="111"/>
      <c r="BE59" s="111"/>
      <c r="BF59" s="111"/>
      <c r="BG59" s="111"/>
      <c r="BH59" s="116"/>
      <c r="BI59" s="111"/>
      <c r="BJ59" s="111"/>
      <c r="BK59" s="111"/>
      <c r="BL59" s="111"/>
      <c r="BM59" s="111"/>
      <c r="BN59" s="111"/>
      <c r="BO59" s="117"/>
      <c r="BP59" s="111"/>
      <c r="BQ59" s="117"/>
      <c r="BR59" s="111"/>
      <c r="BS59" s="111"/>
      <c r="BT59" s="111"/>
      <c r="BU59" s="111"/>
      <c r="BV59" s="111"/>
      <c r="BW59" s="111"/>
      <c r="BX59" s="111"/>
      <c r="BY59" s="111"/>
      <c r="BZ59" s="111"/>
      <c r="CA59" s="111"/>
      <c r="CB59" s="111"/>
      <c r="CC59" s="111"/>
    </row>
    <row r="60" spans="1:81" ht="19.5" customHeight="1">
      <c r="A60" s="101"/>
      <c r="B60" s="101"/>
      <c r="C60" s="102"/>
      <c r="D60" s="102"/>
      <c r="E60" s="111"/>
      <c r="F60" s="116"/>
      <c r="G60" s="116"/>
      <c r="H60" s="116"/>
      <c r="I60" s="116"/>
      <c r="J60" s="111"/>
      <c r="K60" s="111"/>
      <c r="L60" s="122"/>
      <c r="M60" s="116"/>
      <c r="N60" s="124"/>
      <c r="O60" s="111"/>
      <c r="P60" s="111"/>
      <c r="Q60" s="111">
        <f t="shared" si="11"/>
        <v>0</v>
      </c>
      <c r="R60" s="111">
        <v>3800</v>
      </c>
      <c r="S60" s="116">
        <f t="shared" si="12"/>
        <v>0</v>
      </c>
      <c r="T60" s="111"/>
      <c r="U60" s="111"/>
      <c r="V60" s="124"/>
      <c r="W60" s="111"/>
      <c r="X60" s="111">
        <f t="shared" si="5"/>
        <v>0</v>
      </c>
      <c r="Y60" s="124"/>
      <c r="Z60" s="111">
        <v>30000</v>
      </c>
      <c r="AA60" s="111">
        <f t="shared" si="13"/>
        <v>0</v>
      </c>
      <c r="AB60" s="111"/>
      <c r="AC60" s="111">
        <v>100000</v>
      </c>
      <c r="AD60" s="111">
        <f t="shared" si="14"/>
        <v>0</v>
      </c>
      <c r="AE60" s="111"/>
      <c r="AF60" s="111"/>
      <c r="AG60" s="111"/>
      <c r="AH60" s="111"/>
      <c r="AI60" s="111"/>
      <c r="AJ60" s="111"/>
      <c r="AK60" s="124"/>
      <c r="AL60" s="111"/>
      <c r="AM60" s="125">
        <f t="shared" si="17"/>
        <v>0</v>
      </c>
      <c r="AN60" s="111"/>
      <c r="AO60" s="111"/>
      <c r="AP60" s="111"/>
      <c r="AQ60" s="109">
        <f t="shared" si="16"/>
        <v>0</v>
      </c>
      <c r="AR60" s="110">
        <f t="shared" si="9"/>
        <v>0</v>
      </c>
      <c r="AS60" s="111"/>
      <c r="AT60" s="118"/>
      <c r="AU60" s="113" t="str">
        <f t="shared" si="10"/>
        <v>Trống</v>
      </c>
      <c r="AV60" s="114">
        <f t="shared" si="2"/>
        <v>0</v>
      </c>
      <c r="AW60" s="115"/>
      <c r="AX60" s="116"/>
      <c r="AY60" s="111"/>
      <c r="AZ60" s="111"/>
      <c r="BA60" s="111"/>
      <c r="BB60" s="111"/>
      <c r="BC60" s="111"/>
      <c r="BD60" s="111"/>
      <c r="BE60" s="111"/>
      <c r="BF60" s="111"/>
      <c r="BG60" s="111"/>
      <c r="BH60" s="116"/>
      <c r="BI60" s="111"/>
      <c r="BJ60" s="111"/>
      <c r="BK60" s="111"/>
      <c r="BL60" s="111"/>
      <c r="BM60" s="111"/>
      <c r="BN60" s="111"/>
      <c r="BO60" s="117"/>
      <c r="BP60" s="111"/>
      <c r="BQ60" s="117"/>
      <c r="BR60" s="111"/>
      <c r="BS60" s="111"/>
      <c r="BT60" s="111"/>
      <c r="BU60" s="111"/>
      <c r="BV60" s="111"/>
      <c r="BW60" s="111"/>
      <c r="BX60" s="111"/>
      <c r="BY60" s="111"/>
      <c r="BZ60" s="111"/>
      <c r="CA60" s="111"/>
      <c r="CB60" s="111"/>
      <c r="CC60" s="111"/>
    </row>
    <row r="61" spans="1:81" ht="15" customHeight="1">
      <c r="A61" s="101"/>
      <c r="B61" s="101"/>
      <c r="C61" s="102"/>
      <c r="D61" s="102"/>
      <c r="E61" s="111"/>
      <c r="F61" s="116"/>
      <c r="G61" s="116"/>
      <c r="H61" s="116"/>
      <c r="I61" s="116"/>
      <c r="J61" s="111"/>
      <c r="K61" s="111"/>
      <c r="L61" s="122"/>
      <c r="M61" s="116"/>
      <c r="N61" s="124"/>
      <c r="O61" s="111"/>
      <c r="P61" s="111"/>
      <c r="Q61" s="111">
        <f t="shared" si="11"/>
        <v>0</v>
      </c>
      <c r="R61" s="111">
        <v>3800</v>
      </c>
      <c r="S61" s="116">
        <f t="shared" si="12"/>
        <v>0</v>
      </c>
      <c r="T61" s="111"/>
      <c r="U61" s="111"/>
      <c r="V61" s="111"/>
      <c r="W61" s="111"/>
      <c r="X61" s="111">
        <f t="shared" si="5"/>
        <v>0</v>
      </c>
      <c r="Y61" s="124"/>
      <c r="Z61" s="111">
        <v>30000</v>
      </c>
      <c r="AA61" s="111">
        <f t="shared" si="13"/>
        <v>0</v>
      </c>
      <c r="AB61" s="111"/>
      <c r="AC61" s="111">
        <v>100000</v>
      </c>
      <c r="AD61" s="111">
        <f t="shared" si="14"/>
        <v>0</v>
      </c>
      <c r="AE61" s="124"/>
      <c r="AF61" s="116">
        <v>50000</v>
      </c>
      <c r="AG61" s="111">
        <f t="shared" ref="AG61:AG78" si="18">AE61*AF61</f>
        <v>0</v>
      </c>
      <c r="AH61" s="111"/>
      <c r="AI61" s="111"/>
      <c r="AJ61" s="111">
        <f>AH61*AI61</f>
        <v>0</v>
      </c>
      <c r="AK61" s="124"/>
      <c r="AL61" s="116"/>
      <c r="AM61" s="125">
        <f t="shared" si="17"/>
        <v>0</v>
      </c>
      <c r="AN61" s="111"/>
      <c r="AO61" s="111"/>
      <c r="AP61" s="111"/>
      <c r="AQ61" s="109">
        <f t="shared" si="16"/>
        <v>0</v>
      </c>
      <c r="AR61" s="110">
        <f t="shared" si="9"/>
        <v>0</v>
      </c>
      <c r="AS61" s="111"/>
      <c r="AT61" s="118"/>
      <c r="AU61" s="113" t="str">
        <f t="shared" si="10"/>
        <v>Trống</v>
      </c>
      <c r="AV61" s="114">
        <f t="shared" si="2"/>
        <v>0</v>
      </c>
      <c r="AW61" s="115"/>
      <c r="AX61" s="116"/>
      <c r="AY61" s="111"/>
      <c r="AZ61" s="111"/>
      <c r="BA61" s="111"/>
      <c r="BB61" s="111"/>
      <c r="BC61" s="111"/>
      <c r="BD61" s="111"/>
      <c r="BE61" s="111"/>
      <c r="BF61" s="111"/>
      <c r="BG61" s="111"/>
      <c r="BH61" s="116"/>
      <c r="BI61" s="111"/>
      <c r="BJ61" s="111"/>
      <c r="BK61" s="111"/>
      <c r="BL61" s="111"/>
      <c r="BM61" s="111"/>
      <c r="BN61" s="111"/>
      <c r="BO61" s="117"/>
      <c r="BP61" s="111"/>
      <c r="BQ61" s="117"/>
      <c r="BR61" s="111"/>
      <c r="BS61" s="111"/>
      <c r="BT61" s="111"/>
      <c r="BU61" s="111"/>
      <c r="BV61" s="111"/>
      <c r="BW61" s="111"/>
      <c r="BX61" s="111"/>
      <c r="BY61" s="111"/>
      <c r="BZ61" s="111"/>
      <c r="CA61" s="111"/>
      <c r="CB61" s="111"/>
      <c r="CC61" s="111"/>
    </row>
    <row r="62" spans="1:81" ht="15.75" customHeight="1">
      <c r="A62" s="101"/>
      <c r="B62" s="101"/>
      <c r="C62" s="102"/>
      <c r="D62" s="102"/>
      <c r="E62" s="111"/>
      <c r="F62" s="116"/>
      <c r="G62" s="116"/>
      <c r="H62" s="116"/>
      <c r="I62" s="116"/>
      <c r="J62" s="111"/>
      <c r="K62" s="111"/>
      <c r="L62" s="122"/>
      <c r="M62" s="116"/>
      <c r="N62" s="124"/>
      <c r="O62" s="111"/>
      <c r="P62" s="111"/>
      <c r="Q62" s="111">
        <f t="shared" si="11"/>
        <v>0</v>
      </c>
      <c r="R62" s="111">
        <v>3800</v>
      </c>
      <c r="S62" s="116">
        <f t="shared" si="12"/>
        <v>0</v>
      </c>
      <c r="T62" s="111"/>
      <c r="U62" s="111"/>
      <c r="V62" s="111"/>
      <c r="W62" s="111">
        <v>30000</v>
      </c>
      <c r="X62" s="111">
        <f t="shared" si="5"/>
        <v>0</v>
      </c>
      <c r="Y62" s="124"/>
      <c r="Z62" s="111">
        <v>30000</v>
      </c>
      <c r="AA62" s="111">
        <f t="shared" si="13"/>
        <v>0</v>
      </c>
      <c r="AB62" s="111"/>
      <c r="AC62" s="111">
        <v>100000</v>
      </c>
      <c r="AD62" s="111">
        <f t="shared" si="14"/>
        <v>0</v>
      </c>
      <c r="AE62" s="124"/>
      <c r="AF62" s="116">
        <v>50000</v>
      </c>
      <c r="AG62" s="111">
        <f t="shared" si="18"/>
        <v>0</v>
      </c>
      <c r="AH62" s="111"/>
      <c r="AI62" s="111"/>
      <c r="AJ62" s="111">
        <f>AH62*AI62</f>
        <v>0</v>
      </c>
      <c r="AK62" s="124"/>
      <c r="AL62" s="116"/>
      <c r="AM62" s="125">
        <f t="shared" si="17"/>
        <v>0</v>
      </c>
      <c r="AN62" s="111"/>
      <c r="AO62" s="111"/>
      <c r="AP62" s="111"/>
      <c r="AQ62" s="109">
        <f t="shared" si="16"/>
        <v>0</v>
      </c>
      <c r="AR62" s="110">
        <f t="shared" si="9"/>
        <v>0</v>
      </c>
      <c r="AS62" s="111"/>
      <c r="AT62" s="118"/>
      <c r="AU62" s="113" t="str">
        <f t="shared" si="10"/>
        <v>Trống</v>
      </c>
      <c r="AV62" s="114">
        <f t="shared" si="2"/>
        <v>0</v>
      </c>
      <c r="AW62" s="115"/>
      <c r="AX62" s="116"/>
      <c r="AY62" s="111"/>
      <c r="AZ62" s="111"/>
      <c r="BA62" s="111"/>
      <c r="BB62" s="111"/>
      <c r="BC62" s="111"/>
      <c r="BD62" s="111"/>
      <c r="BE62" s="111"/>
      <c r="BF62" s="111"/>
      <c r="BG62" s="111"/>
      <c r="BH62" s="116"/>
      <c r="BI62" s="111"/>
      <c r="BJ62" s="111"/>
      <c r="BK62" s="111"/>
      <c r="BL62" s="111"/>
      <c r="BM62" s="111"/>
      <c r="BN62" s="111"/>
      <c r="BO62" s="117"/>
      <c r="BP62" s="111"/>
      <c r="BQ62" s="117"/>
      <c r="BR62" s="111"/>
      <c r="BS62" s="111"/>
      <c r="BT62" s="111"/>
      <c r="BU62" s="111"/>
      <c r="BV62" s="111"/>
      <c r="BW62" s="111"/>
      <c r="BX62" s="111"/>
      <c r="BY62" s="111"/>
      <c r="BZ62" s="111"/>
      <c r="CA62" s="111"/>
      <c r="CB62" s="111"/>
      <c r="CC62" s="111"/>
    </row>
    <row r="63" spans="1:81" ht="17.25" customHeight="1">
      <c r="A63" s="101"/>
      <c r="B63" s="101"/>
      <c r="C63" s="102"/>
      <c r="D63" s="102"/>
      <c r="E63" s="102"/>
      <c r="F63" s="106"/>
      <c r="G63" s="106"/>
      <c r="H63" s="106"/>
      <c r="I63" s="106"/>
      <c r="J63" s="102"/>
      <c r="K63" s="102"/>
      <c r="L63" s="105"/>
      <c r="M63" s="106"/>
      <c r="N63" s="101"/>
      <c r="O63" s="102"/>
      <c r="P63" s="102"/>
      <c r="Q63" s="102">
        <f t="shared" si="11"/>
        <v>0</v>
      </c>
      <c r="R63" s="102">
        <v>3800</v>
      </c>
      <c r="S63" s="106">
        <f t="shared" si="12"/>
        <v>0</v>
      </c>
      <c r="T63" s="102"/>
      <c r="U63" s="102"/>
      <c r="V63" s="102"/>
      <c r="W63" s="102">
        <v>30000</v>
      </c>
      <c r="X63" s="102">
        <f t="shared" si="5"/>
        <v>0</v>
      </c>
      <c r="Y63" s="101"/>
      <c r="Z63" s="102">
        <v>30000</v>
      </c>
      <c r="AA63" s="102">
        <f t="shared" si="13"/>
        <v>0</v>
      </c>
      <c r="AB63" s="102"/>
      <c r="AC63" s="102">
        <v>100000</v>
      </c>
      <c r="AD63" s="102">
        <f t="shared" si="14"/>
        <v>0</v>
      </c>
      <c r="AE63" s="101"/>
      <c r="AF63" s="106">
        <v>50000</v>
      </c>
      <c r="AG63" s="102">
        <f t="shared" si="18"/>
        <v>0</v>
      </c>
      <c r="AH63" s="102"/>
      <c r="AI63" s="106"/>
      <c r="AJ63" s="102"/>
      <c r="AK63" s="101"/>
      <c r="AL63" s="106"/>
      <c r="AM63" s="108">
        <f t="shared" si="17"/>
        <v>0</v>
      </c>
      <c r="AN63" s="102"/>
      <c r="AO63" s="102"/>
      <c r="AP63" s="102"/>
      <c r="AQ63" s="127">
        <f t="shared" si="16"/>
        <v>0</v>
      </c>
      <c r="AR63" s="128">
        <f t="shared" si="9"/>
        <v>0</v>
      </c>
      <c r="AS63" s="111"/>
      <c r="AT63" s="118"/>
      <c r="AU63" s="129" t="str">
        <f t="shared" si="10"/>
        <v>Trống</v>
      </c>
      <c r="AV63" s="130">
        <f t="shared" si="2"/>
        <v>0</v>
      </c>
      <c r="AW63" s="131"/>
      <c r="AX63" s="106"/>
      <c r="AY63" s="102"/>
      <c r="AZ63" s="102"/>
      <c r="BA63" s="102"/>
      <c r="BB63" s="102"/>
      <c r="BC63" s="102"/>
      <c r="BD63" s="102"/>
      <c r="BE63" s="102"/>
      <c r="BF63" s="102"/>
      <c r="BG63" s="102"/>
      <c r="BH63" s="106"/>
      <c r="BI63" s="102"/>
      <c r="BJ63" s="102"/>
      <c r="BK63" s="102"/>
      <c r="BL63" s="102"/>
      <c r="BM63" s="102"/>
      <c r="BN63" s="102"/>
      <c r="BO63" s="132"/>
      <c r="BP63" s="102"/>
      <c r="BQ63" s="132"/>
      <c r="BR63" s="102"/>
      <c r="BS63" s="102"/>
      <c r="BT63" s="102"/>
      <c r="BU63" s="102"/>
      <c r="BV63" s="102"/>
      <c r="BW63" s="102"/>
      <c r="BX63" s="102"/>
      <c r="BY63" s="102"/>
      <c r="BZ63" s="102"/>
      <c r="CA63" s="102"/>
      <c r="CB63" s="102"/>
      <c r="CC63" s="102"/>
    </row>
    <row r="64" spans="1:81" ht="15" customHeight="1">
      <c r="A64" s="101"/>
      <c r="B64" s="101"/>
      <c r="C64" s="102"/>
      <c r="D64" s="102"/>
      <c r="E64" s="102"/>
      <c r="F64" s="106"/>
      <c r="G64" s="106"/>
      <c r="H64" s="106"/>
      <c r="I64" s="106"/>
      <c r="J64" s="102"/>
      <c r="K64" s="102"/>
      <c r="L64" s="105"/>
      <c r="M64" s="106"/>
      <c r="N64" s="101"/>
      <c r="O64" s="102"/>
      <c r="P64" s="102"/>
      <c r="Q64" s="102">
        <f t="shared" si="11"/>
        <v>0</v>
      </c>
      <c r="R64" s="102">
        <v>3800</v>
      </c>
      <c r="S64" s="106">
        <f t="shared" si="12"/>
        <v>0</v>
      </c>
      <c r="T64" s="102"/>
      <c r="U64" s="102"/>
      <c r="V64" s="102"/>
      <c r="W64" s="102">
        <v>30000</v>
      </c>
      <c r="X64" s="102">
        <f t="shared" si="5"/>
        <v>0</v>
      </c>
      <c r="Y64" s="101"/>
      <c r="Z64" s="102">
        <v>30000</v>
      </c>
      <c r="AA64" s="102">
        <f t="shared" si="13"/>
        <v>0</v>
      </c>
      <c r="AB64" s="102"/>
      <c r="AC64" s="102">
        <v>100000</v>
      </c>
      <c r="AD64" s="102">
        <f t="shared" si="14"/>
        <v>0</v>
      </c>
      <c r="AE64" s="101"/>
      <c r="AF64" s="106">
        <v>50000</v>
      </c>
      <c r="AG64" s="102">
        <f t="shared" si="18"/>
        <v>0</v>
      </c>
      <c r="AH64" s="102"/>
      <c r="AI64" s="102"/>
      <c r="AJ64" s="102"/>
      <c r="AK64" s="101"/>
      <c r="AL64" s="106"/>
      <c r="AM64" s="108">
        <f t="shared" si="17"/>
        <v>0</v>
      </c>
      <c r="AN64" s="102"/>
      <c r="AO64" s="102"/>
      <c r="AP64" s="102"/>
      <c r="AQ64" s="127">
        <f t="shared" si="16"/>
        <v>0</v>
      </c>
      <c r="AR64" s="128">
        <f t="shared" si="9"/>
        <v>0</v>
      </c>
      <c r="AS64" s="111"/>
      <c r="AT64" s="118"/>
      <c r="AU64" s="129" t="str">
        <f t="shared" si="10"/>
        <v>Trống</v>
      </c>
      <c r="AV64" s="130">
        <f t="shared" si="2"/>
        <v>0</v>
      </c>
      <c r="AW64" s="131"/>
      <c r="AX64" s="106"/>
      <c r="AY64" s="102"/>
      <c r="AZ64" s="102"/>
      <c r="BA64" s="102"/>
      <c r="BB64" s="102"/>
      <c r="BC64" s="102"/>
      <c r="BD64" s="102"/>
      <c r="BE64" s="102"/>
      <c r="BF64" s="102"/>
      <c r="BG64" s="102"/>
      <c r="BH64" s="106"/>
      <c r="BI64" s="102"/>
      <c r="BJ64" s="102"/>
      <c r="BK64" s="102"/>
      <c r="BL64" s="102"/>
      <c r="BM64" s="102"/>
      <c r="BN64" s="102"/>
      <c r="BO64" s="132"/>
      <c r="BP64" s="102"/>
      <c r="BQ64" s="132"/>
      <c r="BR64" s="102"/>
      <c r="BS64" s="102"/>
      <c r="BT64" s="102"/>
      <c r="BU64" s="102"/>
      <c r="BV64" s="102"/>
      <c r="BW64" s="102"/>
      <c r="BX64" s="102"/>
      <c r="BY64" s="102"/>
      <c r="BZ64" s="102"/>
      <c r="CA64" s="102"/>
      <c r="CB64" s="102"/>
      <c r="CC64" s="102"/>
    </row>
    <row r="65" spans="1:81" ht="15" customHeight="1">
      <c r="A65" s="101"/>
      <c r="B65" s="101"/>
      <c r="C65" s="102"/>
      <c r="D65" s="102"/>
      <c r="E65" s="102"/>
      <c r="F65" s="106"/>
      <c r="G65" s="106"/>
      <c r="H65" s="106"/>
      <c r="I65" s="106"/>
      <c r="J65" s="102"/>
      <c r="K65" s="102"/>
      <c r="L65" s="105"/>
      <c r="M65" s="106"/>
      <c r="N65" s="101"/>
      <c r="O65" s="102"/>
      <c r="P65" s="102"/>
      <c r="Q65" s="102">
        <f t="shared" si="11"/>
        <v>0</v>
      </c>
      <c r="R65" s="102">
        <v>3800</v>
      </c>
      <c r="S65" s="106">
        <f t="shared" si="12"/>
        <v>0</v>
      </c>
      <c r="T65" s="102"/>
      <c r="U65" s="102"/>
      <c r="V65" s="102"/>
      <c r="W65" s="102">
        <v>30000</v>
      </c>
      <c r="X65" s="102">
        <f t="shared" si="5"/>
        <v>0</v>
      </c>
      <c r="Y65" s="101"/>
      <c r="Z65" s="102">
        <v>30000</v>
      </c>
      <c r="AA65" s="102">
        <f t="shared" si="13"/>
        <v>0</v>
      </c>
      <c r="AB65" s="102"/>
      <c r="AC65" s="102">
        <v>100000</v>
      </c>
      <c r="AD65" s="102">
        <f t="shared" si="14"/>
        <v>0</v>
      </c>
      <c r="AE65" s="101"/>
      <c r="AF65" s="106">
        <v>50000</v>
      </c>
      <c r="AG65" s="102">
        <f t="shared" si="18"/>
        <v>0</v>
      </c>
      <c r="AH65" s="102"/>
      <c r="AI65" s="102"/>
      <c r="AJ65" s="102">
        <f t="shared" ref="AJ65:AJ78" si="19">AH65*AI65</f>
        <v>0</v>
      </c>
      <c r="AK65" s="101"/>
      <c r="AL65" s="106"/>
      <c r="AM65" s="108">
        <f t="shared" si="17"/>
        <v>0</v>
      </c>
      <c r="AN65" s="102"/>
      <c r="AO65" s="102"/>
      <c r="AP65" s="102"/>
      <c r="AQ65" s="127">
        <f t="shared" si="16"/>
        <v>0</v>
      </c>
      <c r="AR65" s="128">
        <f t="shared" si="9"/>
        <v>0</v>
      </c>
      <c r="AS65" s="111"/>
      <c r="AT65" s="118"/>
      <c r="AU65" s="129" t="str">
        <f t="shared" si="10"/>
        <v>Trống</v>
      </c>
      <c r="AV65" s="130">
        <f t="shared" si="2"/>
        <v>0</v>
      </c>
      <c r="AW65" s="131"/>
      <c r="AX65" s="106"/>
      <c r="AY65" s="102"/>
      <c r="AZ65" s="102"/>
      <c r="BA65" s="102"/>
      <c r="BB65" s="102"/>
      <c r="BC65" s="102"/>
      <c r="BD65" s="102"/>
      <c r="BE65" s="102"/>
      <c r="BF65" s="102"/>
      <c r="BG65" s="102"/>
      <c r="BH65" s="106"/>
      <c r="BI65" s="102"/>
      <c r="BJ65" s="102"/>
      <c r="BK65" s="102"/>
      <c r="BL65" s="102"/>
      <c r="BM65" s="102"/>
      <c r="BN65" s="102"/>
      <c r="BO65" s="132"/>
      <c r="BP65" s="102"/>
      <c r="BQ65" s="132"/>
      <c r="BR65" s="102"/>
      <c r="BS65" s="102"/>
      <c r="BT65" s="102"/>
      <c r="BU65" s="102"/>
      <c r="BV65" s="102"/>
      <c r="BW65" s="102"/>
      <c r="BX65" s="102"/>
      <c r="BY65" s="102"/>
      <c r="BZ65" s="102"/>
      <c r="CA65" s="102"/>
      <c r="CB65" s="102"/>
      <c r="CC65" s="102"/>
    </row>
    <row r="66" spans="1:81" ht="17.25" customHeight="1">
      <c r="A66" s="101"/>
      <c r="B66" s="101"/>
      <c r="C66" s="102"/>
      <c r="D66" s="102"/>
      <c r="E66" s="102"/>
      <c r="F66" s="106"/>
      <c r="G66" s="106"/>
      <c r="H66" s="106"/>
      <c r="I66" s="106"/>
      <c r="J66" s="102"/>
      <c r="K66" s="102"/>
      <c r="L66" s="105"/>
      <c r="M66" s="106"/>
      <c r="N66" s="101"/>
      <c r="O66" s="102"/>
      <c r="P66" s="102"/>
      <c r="Q66" s="102">
        <f t="shared" si="11"/>
        <v>0</v>
      </c>
      <c r="R66" s="102">
        <v>3800</v>
      </c>
      <c r="S66" s="106">
        <f t="shared" si="12"/>
        <v>0</v>
      </c>
      <c r="T66" s="102"/>
      <c r="U66" s="102"/>
      <c r="V66" s="102"/>
      <c r="W66" s="102">
        <v>90000</v>
      </c>
      <c r="X66" s="102">
        <f t="shared" si="5"/>
        <v>0</v>
      </c>
      <c r="Y66" s="101"/>
      <c r="Z66" s="102">
        <v>30000</v>
      </c>
      <c r="AA66" s="102">
        <f t="shared" si="13"/>
        <v>0</v>
      </c>
      <c r="AB66" s="102"/>
      <c r="AC66" s="102">
        <v>100000</v>
      </c>
      <c r="AD66" s="102">
        <f t="shared" si="14"/>
        <v>0</v>
      </c>
      <c r="AE66" s="101"/>
      <c r="AF66" s="106">
        <v>50000</v>
      </c>
      <c r="AG66" s="102">
        <f t="shared" si="18"/>
        <v>0</v>
      </c>
      <c r="AH66" s="102"/>
      <c r="AI66" s="102"/>
      <c r="AJ66" s="102">
        <f t="shared" si="19"/>
        <v>0</v>
      </c>
      <c r="AK66" s="101"/>
      <c r="AL66" s="106"/>
      <c r="AM66" s="108">
        <f t="shared" si="17"/>
        <v>0</v>
      </c>
      <c r="AN66" s="102"/>
      <c r="AO66" s="102"/>
      <c r="AP66" s="102"/>
      <c r="AQ66" s="127">
        <f t="shared" si="16"/>
        <v>0</v>
      </c>
      <c r="AR66" s="128">
        <f t="shared" si="9"/>
        <v>0</v>
      </c>
      <c r="AS66" s="102"/>
      <c r="AT66" s="133"/>
      <c r="AU66" s="129" t="str">
        <f t="shared" si="10"/>
        <v>Trống</v>
      </c>
      <c r="AV66" s="130">
        <f t="shared" si="2"/>
        <v>0</v>
      </c>
      <c r="AW66" s="131"/>
      <c r="AX66" s="106"/>
      <c r="AY66" s="102"/>
      <c r="AZ66" s="102"/>
      <c r="BA66" s="102"/>
      <c r="BB66" s="102"/>
      <c r="BC66" s="102"/>
      <c r="BD66" s="102"/>
      <c r="BE66" s="102"/>
      <c r="BF66" s="102"/>
      <c r="BG66" s="102"/>
      <c r="BH66" s="106"/>
      <c r="BI66" s="102"/>
      <c r="BJ66" s="102"/>
      <c r="BK66" s="102"/>
      <c r="BL66" s="102"/>
      <c r="BM66" s="102"/>
      <c r="BN66" s="102"/>
      <c r="BO66" s="132"/>
      <c r="BP66" s="102"/>
      <c r="BQ66" s="132"/>
      <c r="BR66" s="102"/>
      <c r="BS66" s="102"/>
      <c r="BT66" s="102"/>
      <c r="BU66" s="102"/>
      <c r="BV66" s="102"/>
      <c r="BW66" s="102"/>
      <c r="BX66" s="102"/>
      <c r="BY66" s="102"/>
      <c r="BZ66" s="102"/>
      <c r="CA66" s="102"/>
      <c r="CB66" s="102"/>
      <c r="CC66" s="102"/>
    </row>
    <row r="67" spans="1:81" ht="18.75" customHeight="1">
      <c r="A67" s="101"/>
      <c r="B67" s="101"/>
      <c r="C67" s="102"/>
      <c r="D67" s="102"/>
      <c r="E67" s="102"/>
      <c r="F67" s="106"/>
      <c r="G67" s="106"/>
      <c r="H67" s="106"/>
      <c r="I67" s="106"/>
      <c r="J67" s="102"/>
      <c r="K67" s="102"/>
      <c r="L67" s="105"/>
      <c r="M67" s="106"/>
      <c r="N67" s="101"/>
      <c r="O67" s="102"/>
      <c r="P67" s="102"/>
      <c r="Q67" s="102">
        <f t="shared" si="11"/>
        <v>0</v>
      </c>
      <c r="R67" s="102">
        <v>3800</v>
      </c>
      <c r="S67" s="106">
        <f t="shared" si="12"/>
        <v>0</v>
      </c>
      <c r="T67" s="102"/>
      <c r="U67" s="102"/>
      <c r="V67" s="102"/>
      <c r="W67" s="102">
        <v>30000</v>
      </c>
      <c r="X67" s="102">
        <f t="shared" si="5"/>
        <v>0</v>
      </c>
      <c r="Y67" s="101"/>
      <c r="Z67" s="102">
        <v>30000</v>
      </c>
      <c r="AA67" s="102">
        <f t="shared" si="13"/>
        <v>0</v>
      </c>
      <c r="AB67" s="102"/>
      <c r="AC67" s="102">
        <v>100000</v>
      </c>
      <c r="AD67" s="102">
        <f t="shared" si="14"/>
        <v>0</v>
      </c>
      <c r="AE67" s="101"/>
      <c r="AF67" s="106">
        <v>50000</v>
      </c>
      <c r="AG67" s="102">
        <f t="shared" si="18"/>
        <v>0</v>
      </c>
      <c r="AH67" s="102"/>
      <c r="AI67" s="102"/>
      <c r="AJ67" s="102">
        <f t="shared" si="19"/>
        <v>0</v>
      </c>
      <c r="AK67" s="101"/>
      <c r="AL67" s="106"/>
      <c r="AM67" s="108">
        <f t="shared" si="17"/>
        <v>0</v>
      </c>
      <c r="AN67" s="102"/>
      <c r="AO67" s="102"/>
      <c r="AP67" s="102"/>
      <c r="AQ67" s="127">
        <f t="shared" si="16"/>
        <v>0</v>
      </c>
      <c r="AR67" s="128">
        <f t="shared" si="9"/>
        <v>0</v>
      </c>
      <c r="AS67" s="102"/>
      <c r="AT67" s="133"/>
      <c r="AU67" s="129" t="str">
        <f t="shared" si="10"/>
        <v>Trống</v>
      </c>
      <c r="AV67" s="130">
        <f t="shared" si="2"/>
        <v>0</v>
      </c>
      <c r="AW67" s="131"/>
      <c r="AX67" s="106"/>
      <c r="AY67" s="102"/>
      <c r="AZ67" s="102"/>
      <c r="BA67" s="102"/>
      <c r="BB67" s="102"/>
      <c r="BC67" s="102"/>
      <c r="BD67" s="102"/>
      <c r="BE67" s="102"/>
      <c r="BF67" s="102"/>
      <c r="BG67" s="102"/>
      <c r="BH67" s="106"/>
      <c r="BI67" s="102"/>
      <c r="BJ67" s="102"/>
      <c r="BK67" s="102"/>
      <c r="BL67" s="102"/>
      <c r="BM67" s="102"/>
      <c r="BN67" s="102"/>
      <c r="BO67" s="132"/>
      <c r="BP67" s="102"/>
      <c r="BQ67" s="132"/>
      <c r="BR67" s="102"/>
      <c r="BS67" s="102"/>
      <c r="BT67" s="102"/>
      <c r="BU67" s="102"/>
      <c r="BV67" s="102"/>
      <c r="BW67" s="102"/>
      <c r="BX67" s="102"/>
      <c r="BY67" s="102"/>
      <c r="BZ67" s="102"/>
      <c r="CA67" s="102"/>
      <c r="CB67" s="102"/>
      <c r="CC67" s="102"/>
    </row>
    <row r="68" spans="1:81" ht="23.25" customHeight="1">
      <c r="A68" s="101"/>
      <c r="B68" s="101"/>
      <c r="C68" s="102"/>
      <c r="D68" s="102"/>
      <c r="E68" s="102"/>
      <c r="F68" s="106"/>
      <c r="G68" s="106"/>
      <c r="H68" s="106"/>
      <c r="I68" s="106"/>
      <c r="J68" s="102"/>
      <c r="K68" s="102"/>
      <c r="L68" s="105"/>
      <c r="M68" s="106"/>
      <c r="N68" s="101"/>
      <c r="O68" s="102"/>
      <c r="P68" s="102"/>
      <c r="Q68" s="102">
        <f t="shared" si="11"/>
        <v>0</v>
      </c>
      <c r="R68" s="102">
        <v>3800</v>
      </c>
      <c r="S68" s="106">
        <f t="shared" si="12"/>
        <v>0</v>
      </c>
      <c r="T68" s="102"/>
      <c r="U68" s="102"/>
      <c r="V68" s="102"/>
      <c r="W68" s="102">
        <v>30000</v>
      </c>
      <c r="X68" s="102">
        <f t="shared" si="5"/>
        <v>0</v>
      </c>
      <c r="Y68" s="101"/>
      <c r="Z68" s="102">
        <v>30000</v>
      </c>
      <c r="AA68" s="102">
        <f t="shared" si="13"/>
        <v>0</v>
      </c>
      <c r="AB68" s="102"/>
      <c r="AC68" s="102">
        <v>100000</v>
      </c>
      <c r="AD68" s="102">
        <f t="shared" si="14"/>
        <v>0</v>
      </c>
      <c r="AE68" s="101"/>
      <c r="AF68" s="106">
        <v>50000</v>
      </c>
      <c r="AG68" s="102">
        <f t="shared" si="18"/>
        <v>0</v>
      </c>
      <c r="AH68" s="102"/>
      <c r="AI68" s="102"/>
      <c r="AJ68" s="102">
        <f t="shared" si="19"/>
        <v>0</v>
      </c>
      <c r="AK68" s="101"/>
      <c r="AL68" s="106"/>
      <c r="AM68" s="108">
        <f t="shared" si="17"/>
        <v>0</v>
      </c>
      <c r="AN68" s="102"/>
      <c r="AO68" s="102"/>
      <c r="AP68" s="102">
        <f>AN68*AO68</f>
        <v>0</v>
      </c>
      <c r="AQ68" s="127">
        <f t="shared" si="16"/>
        <v>0</v>
      </c>
      <c r="AR68" s="128">
        <f t="shared" si="9"/>
        <v>0</v>
      </c>
      <c r="AS68" s="102"/>
      <c r="AT68" s="133"/>
      <c r="AU68" s="129" t="str">
        <f t="shared" si="10"/>
        <v>Trống</v>
      </c>
      <c r="AV68" s="130">
        <f t="shared" si="2"/>
        <v>0</v>
      </c>
      <c r="AW68" s="131"/>
      <c r="AX68" s="106"/>
      <c r="AY68" s="102">
        <v>215</v>
      </c>
      <c r="AZ68" s="102">
        <v>239</v>
      </c>
      <c r="BA68" s="102">
        <f>AZ68-AY68</f>
        <v>24</v>
      </c>
      <c r="BB68" s="102">
        <v>3800</v>
      </c>
      <c r="BC68" s="102">
        <f>BA68*BB68+60000</f>
        <v>151200</v>
      </c>
      <c r="BD68" s="102"/>
      <c r="BE68" s="102"/>
      <c r="BF68" s="102"/>
      <c r="BG68" s="102"/>
      <c r="BH68" s="106"/>
      <c r="BI68" s="102"/>
      <c r="BJ68" s="102"/>
      <c r="BK68" s="102"/>
      <c r="BL68" s="102"/>
      <c r="BM68" s="102"/>
      <c r="BN68" s="102"/>
      <c r="BO68" s="132"/>
      <c r="BP68" s="102"/>
      <c r="BQ68" s="132"/>
      <c r="BR68" s="102"/>
      <c r="BS68" s="102"/>
      <c r="BT68" s="102"/>
      <c r="BU68" s="102"/>
      <c r="BV68" s="102"/>
      <c r="BW68" s="102"/>
      <c r="BX68" s="102"/>
      <c r="BY68" s="102"/>
      <c r="BZ68" s="102"/>
      <c r="CA68" s="102"/>
      <c r="CB68" s="102"/>
      <c r="CC68" s="102"/>
    </row>
    <row r="69" spans="1:81" ht="14.25" customHeight="1">
      <c r="A69" s="101"/>
      <c r="B69" s="101"/>
      <c r="C69" s="102"/>
      <c r="D69" s="102"/>
      <c r="E69" s="102"/>
      <c r="F69" s="106"/>
      <c r="G69" s="106"/>
      <c r="H69" s="106"/>
      <c r="I69" s="106"/>
      <c r="J69" s="102"/>
      <c r="K69" s="102"/>
      <c r="L69" s="105"/>
      <c r="M69" s="106"/>
      <c r="N69" s="101"/>
      <c r="O69" s="102"/>
      <c r="P69" s="102"/>
      <c r="Q69" s="102">
        <f t="shared" si="11"/>
        <v>0</v>
      </c>
      <c r="R69" s="102">
        <v>3800</v>
      </c>
      <c r="S69" s="106">
        <f t="shared" si="12"/>
        <v>0</v>
      </c>
      <c r="T69" s="102"/>
      <c r="U69" s="102"/>
      <c r="V69" s="102"/>
      <c r="W69" s="102">
        <v>30000</v>
      </c>
      <c r="X69" s="102">
        <f t="shared" si="5"/>
        <v>0</v>
      </c>
      <c r="Y69" s="101"/>
      <c r="Z69" s="102">
        <v>30000</v>
      </c>
      <c r="AA69" s="102">
        <f t="shared" si="13"/>
        <v>0</v>
      </c>
      <c r="AB69" s="102"/>
      <c r="AC69" s="102">
        <v>100000</v>
      </c>
      <c r="AD69" s="102">
        <f t="shared" si="14"/>
        <v>0</v>
      </c>
      <c r="AE69" s="101"/>
      <c r="AF69" s="106">
        <v>50000</v>
      </c>
      <c r="AG69" s="102">
        <f t="shared" si="18"/>
        <v>0</v>
      </c>
      <c r="AH69" s="102"/>
      <c r="AI69" s="102"/>
      <c r="AJ69" s="102">
        <f t="shared" si="19"/>
        <v>0</v>
      </c>
      <c r="AK69" s="101"/>
      <c r="AL69" s="106"/>
      <c r="AM69" s="108">
        <f t="shared" si="17"/>
        <v>0</v>
      </c>
      <c r="AN69" s="102"/>
      <c r="AO69" s="102"/>
      <c r="AP69" s="102"/>
      <c r="AQ69" s="127">
        <f t="shared" si="16"/>
        <v>0</v>
      </c>
      <c r="AR69" s="128">
        <f t="shared" si="9"/>
        <v>0</v>
      </c>
      <c r="AS69" s="102"/>
      <c r="AT69" s="133"/>
      <c r="AU69" s="129" t="str">
        <f t="shared" si="10"/>
        <v>Trống</v>
      </c>
      <c r="AV69" s="130">
        <f t="shared" si="2"/>
        <v>0</v>
      </c>
      <c r="AW69" s="131"/>
      <c r="AX69" s="106"/>
      <c r="AY69" s="102"/>
      <c r="AZ69" s="102"/>
      <c r="BA69" s="102"/>
      <c r="BB69" s="102"/>
      <c r="BC69" s="102"/>
      <c r="BD69" s="102"/>
      <c r="BE69" s="102"/>
      <c r="BF69" s="102"/>
      <c r="BG69" s="102"/>
      <c r="BH69" s="106"/>
      <c r="BI69" s="134"/>
      <c r="BJ69" s="134"/>
      <c r="BK69" s="134"/>
      <c r="BL69" s="134"/>
      <c r="BM69" s="102"/>
      <c r="BN69" s="102"/>
      <c r="BO69" s="132"/>
      <c r="BP69" s="102"/>
      <c r="BQ69" s="132"/>
      <c r="BR69" s="102"/>
      <c r="BS69" s="102"/>
      <c r="BT69" s="102"/>
      <c r="BU69" s="102"/>
      <c r="BV69" s="102"/>
      <c r="BW69" s="102"/>
      <c r="BX69" s="102"/>
      <c r="BY69" s="102"/>
      <c r="BZ69" s="102"/>
      <c r="CA69" s="102"/>
      <c r="CB69" s="102"/>
      <c r="CC69" s="102"/>
    </row>
    <row r="70" spans="1:81" ht="15" customHeight="1">
      <c r="A70" s="101"/>
      <c r="B70" s="101"/>
      <c r="C70" s="102"/>
      <c r="D70" s="102"/>
      <c r="E70" s="102"/>
      <c r="F70" s="106"/>
      <c r="G70" s="106"/>
      <c r="H70" s="106"/>
      <c r="I70" s="106"/>
      <c r="J70" s="102"/>
      <c r="K70" s="102"/>
      <c r="L70" s="105"/>
      <c r="M70" s="106"/>
      <c r="N70" s="101"/>
      <c r="O70" s="102"/>
      <c r="P70" s="102"/>
      <c r="Q70" s="102">
        <f t="shared" si="11"/>
        <v>0</v>
      </c>
      <c r="R70" s="102">
        <v>3800</v>
      </c>
      <c r="S70" s="106">
        <f t="shared" si="12"/>
        <v>0</v>
      </c>
      <c r="T70" s="102"/>
      <c r="U70" s="102"/>
      <c r="V70" s="102"/>
      <c r="W70" s="102">
        <v>30000</v>
      </c>
      <c r="X70" s="102">
        <f t="shared" si="5"/>
        <v>0</v>
      </c>
      <c r="Y70" s="101"/>
      <c r="Z70" s="102">
        <v>30000</v>
      </c>
      <c r="AA70" s="102">
        <f t="shared" si="13"/>
        <v>0</v>
      </c>
      <c r="AB70" s="102"/>
      <c r="AC70" s="102">
        <v>100000</v>
      </c>
      <c r="AD70" s="102">
        <f t="shared" si="14"/>
        <v>0</v>
      </c>
      <c r="AE70" s="101"/>
      <c r="AF70" s="106">
        <v>50000</v>
      </c>
      <c r="AG70" s="102">
        <f t="shared" si="18"/>
        <v>0</v>
      </c>
      <c r="AH70" s="102"/>
      <c r="AI70" s="102"/>
      <c r="AJ70" s="102">
        <f t="shared" si="19"/>
        <v>0</v>
      </c>
      <c r="AK70" s="101"/>
      <c r="AL70" s="106"/>
      <c r="AM70" s="108">
        <f t="shared" si="17"/>
        <v>0</v>
      </c>
      <c r="AN70" s="102"/>
      <c r="AO70" s="102"/>
      <c r="AP70" s="102"/>
      <c r="AQ70" s="127">
        <f t="shared" si="16"/>
        <v>0</v>
      </c>
      <c r="AR70" s="128">
        <f t="shared" si="9"/>
        <v>0</v>
      </c>
      <c r="AS70" s="102"/>
      <c r="AT70" s="133"/>
      <c r="AU70" s="129" t="str">
        <f t="shared" si="10"/>
        <v>Trống</v>
      </c>
      <c r="AV70" s="130">
        <f t="shared" si="2"/>
        <v>0</v>
      </c>
      <c r="AW70" s="131"/>
      <c r="AX70" s="106"/>
      <c r="AY70" s="102"/>
      <c r="AZ70" s="102"/>
      <c r="BA70" s="102"/>
      <c r="BB70" s="102"/>
      <c r="BC70" s="102"/>
      <c r="BD70" s="102"/>
      <c r="BE70" s="102"/>
      <c r="BF70" s="102"/>
      <c r="BG70" s="102"/>
      <c r="BH70" s="106"/>
      <c r="BI70" s="102"/>
      <c r="BJ70" s="102"/>
      <c r="BK70" s="102"/>
      <c r="BL70" s="102"/>
      <c r="BM70" s="102"/>
      <c r="BN70" s="102"/>
      <c r="BO70" s="132">
        <v>2300000</v>
      </c>
      <c r="BP70" s="102"/>
      <c r="BQ70" s="132">
        <f>4760000</f>
        <v>4760000</v>
      </c>
      <c r="BR70" s="102"/>
      <c r="BS70" s="102" t="s">
        <v>160</v>
      </c>
      <c r="BT70" s="102"/>
      <c r="BU70" s="102"/>
      <c r="BV70" s="102"/>
      <c r="BW70" s="102"/>
      <c r="BX70" s="102"/>
      <c r="BY70" s="102"/>
      <c r="BZ70" s="102"/>
      <c r="CA70" s="102"/>
      <c r="CB70" s="102"/>
      <c r="CC70" s="102"/>
    </row>
    <row r="71" spans="1:81" ht="15.75" customHeight="1">
      <c r="A71" s="101"/>
      <c r="B71" s="101"/>
      <c r="C71" s="102"/>
      <c r="D71" s="102"/>
      <c r="E71" s="102"/>
      <c r="F71" s="106"/>
      <c r="G71" s="106"/>
      <c r="H71" s="106"/>
      <c r="I71" s="106"/>
      <c r="J71" s="102"/>
      <c r="K71" s="102"/>
      <c r="L71" s="105"/>
      <c r="M71" s="106"/>
      <c r="N71" s="101"/>
      <c r="O71" s="102"/>
      <c r="P71" s="102"/>
      <c r="Q71" s="102">
        <f t="shared" si="11"/>
        <v>0</v>
      </c>
      <c r="R71" s="102">
        <v>3800</v>
      </c>
      <c r="S71" s="106">
        <f t="shared" si="12"/>
        <v>0</v>
      </c>
      <c r="T71" s="102"/>
      <c r="U71" s="102"/>
      <c r="V71" s="102"/>
      <c r="W71" s="102">
        <v>30000</v>
      </c>
      <c r="X71" s="102">
        <f t="shared" si="5"/>
        <v>0</v>
      </c>
      <c r="Y71" s="101"/>
      <c r="Z71" s="102">
        <v>30000</v>
      </c>
      <c r="AA71" s="102">
        <f t="shared" si="13"/>
        <v>0</v>
      </c>
      <c r="AB71" s="102"/>
      <c r="AC71" s="102">
        <v>100000</v>
      </c>
      <c r="AD71" s="102">
        <f t="shared" si="14"/>
        <v>0</v>
      </c>
      <c r="AE71" s="101"/>
      <c r="AF71" s="106">
        <v>50000</v>
      </c>
      <c r="AG71" s="102">
        <f t="shared" si="18"/>
        <v>0</v>
      </c>
      <c r="AH71" s="102"/>
      <c r="AI71" s="102"/>
      <c r="AJ71" s="102">
        <f t="shared" si="19"/>
        <v>0</v>
      </c>
      <c r="AK71" s="101"/>
      <c r="AL71" s="106"/>
      <c r="AM71" s="108">
        <f t="shared" si="17"/>
        <v>0</v>
      </c>
      <c r="AN71" s="102"/>
      <c r="AO71" s="102"/>
      <c r="AP71" s="102"/>
      <c r="AQ71" s="127">
        <f t="shared" si="16"/>
        <v>0</v>
      </c>
      <c r="AR71" s="128">
        <f t="shared" si="9"/>
        <v>0</v>
      </c>
      <c r="AS71" s="102"/>
      <c r="AT71" s="133"/>
      <c r="AU71" s="129" t="str">
        <f t="shared" si="10"/>
        <v>Trống</v>
      </c>
      <c r="AV71" s="130">
        <f t="shared" si="2"/>
        <v>0</v>
      </c>
      <c r="AW71" s="131"/>
      <c r="AX71" s="106"/>
      <c r="AY71" s="102"/>
      <c r="AZ71" s="102"/>
      <c r="BA71" s="102"/>
      <c r="BB71" s="102"/>
      <c r="BC71" s="102"/>
      <c r="BD71" s="102"/>
      <c r="BE71" s="102"/>
      <c r="BF71" s="102"/>
      <c r="BG71" s="102"/>
      <c r="BH71" s="106"/>
      <c r="BI71" s="102"/>
      <c r="BJ71" s="102"/>
      <c r="BK71" s="102"/>
      <c r="BL71" s="102"/>
      <c r="BM71" s="102"/>
      <c r="BN71" s="102"/>
      <c r="BO71" s="132"/>
      <c r="BP71" s="102"/>
      <c r="BQ71" s="132"/>
      <c r="BR71" s="102"/>
      <c r="BS71" s="102"/>
      <c r="BT71" s="102"/>
      <c r="BU71" s="102"/>
      <c r="BV71" s="102"/>
      <c r="BW71" s="102"/>
      <c r="BX71" s="102"/>
      <c r="BY71" s="102"/>
      <c r="BZ71" s="102"/>
      <c r="CA71" s="102"/>
      <c r="CB71" s="102"/>
      <c r="CC71" s="102"/>
    </row>
    <row r="72" spans="1:81" ht="17.25" customHeight="1">
      <c r="A72" s="101"/>
      <c r="B72" s="101"/>
      <c r="C72" s="102"/>
      <c r="D72" s="102"/>
      <c r="E72" s="102"/>
      <c r="F72" s="106"/>
      <c r="G72" s="106"/>
      <c r="H72" s="106"/>
      <c r="I72" s="106"/>
      <c r="J72" s="102"/>
      <c r="K72" s="102"/>
      <c r="L72" s="105"/>
      <c r="M72" s="106"/>
      <c r="N72" s="101"/>
      <c r="O72" s="102"/>
      <c r="P72" s="102"/>
      <c r="Q72" s="102">
        <f t="shared" si="11"/>
        <v>0</v>
      </c>
      <c r="R72" s="102">
        <v>3800</v>
      </c>
      <c r="S72" s="106">
        <f t="shared" si="12"/>
        <v>0</v>
      </c>
      <c r="T72" s="102"/>
      <c r="U72" s="102"/>
      <c r="V72" s="102"/>
      <c r="W72" s="102">
        <v>30000</v>
      </c>
      <c r="X72" s="102">
        <f t="shared" si="5"/>
        <v>0</v>
      </c>
      <c r="Y72" s="101"/>
      <c r="Z72" s="102">
        <v>30000</v>
      </c>
      <c r="AA72" s="102">
        <f t="shared" si="13"/>
        <v>0</v>
      </c>
      <c r="AB72" s="102"/>
      <c r="AC72" s="102">
        <v>100000</v>
      </c>
      <c r="AD72" s="102">
        <f t="shared" si="14"/>
        <v>0</v>
      </c>
      <c r="AE72" s="101"/>
      <c r="AF72" s="106">
        <v>50000</v>
      </c>
      <c r="AG72" s="102">
        <f t="shared" si="18"/>
        <v>0</v>
      </c>
      <c r="AH72" s="102"/>
      <c r="AI72" s="102"/>
      <c r="AJ72" s="102">
        <f t="shared" si="19"/>
        <v>0</v>
      </c>
      <c r="AK72" s="101"/>
      <c r="AL72" s="106"/>
      <c r="AM72" s="108">
        <f t="shared" si="17"/>
        <v>0</v>
      </c>
      <c r="AN72" s="102"/>
      <c r="AO72" s="102"/>
      <c r="AP72" s="102"/>
      <c r="AQ72" s="127">
        <f t="shared" si="16"/>
        <v>0</v>
      </c>
      <c r="AR72" s="128">
        <f t="shared" si="9"/>
        <v>0</v>
      </c>
      <c r="AS72" s="102"/>
      <c r="AT72" s="133"/>
      <c r="AU72" s="129" t="str">
        <f t="shared" si="10"/>
        <v>Trống</v>
      </c>
      <c r="AV72" s="130">
        <f t="shared" si="2"/>
        <v>0</v>
      </c>
      <c r="AW72" s="131"/>
      <c r="AX72" s="106"/>
      <c r="AY72" s="102"/>
      <c r="AZ72" s="102"/>
      <c r="BA72" s="102"/>
      <c r="BB72" s="102"/>
      <c r="BC72" s="102"/>
      <c r="BD72" s="102"/>
      <c r="BE72" s="102"/>
      <c r="BF72" s="102"/>
      <c r="BG72" s="102"/>
      <c r="BH72" s="106"/>
      <c r="BI72" s="102"/>
      <c r="BJ72" s="102"/>
      <c r="BK72" s="102"/>
      <c r="BL72" s="102"/>
      <c r="BM72" s="102"/>
      <c r="BN72" s="102"/>
      <c r="BO72" s="132"/>
      <c r="BP72" s="102"/>
      <c r="BQ72" s="132"/>
      <c r="BR72" s="102"/>
      <c r="BS72" s="102"/>
      <c r="BT72" s="102"/>
      <c r="BU72" s="102"/>
      <c r="BV72" s="102"/>
      <c r="BW72" s="102"/>
      <c r="BX72" s="102"/>
      <c r="BY72" s="102"/>
      <c r="BZ72" s="102"/>
      <c r="CA72" s="102"/>
      <c r="CB72" s="102"/>
      <c r="CC72" s="102"/>
    </row>
    <row r="73" spans="1:81" ht="16.5" customHeight="1">
      <c r="A73" s="101"/>
      <c r="B73" s="101"/>
      <c r="C73" s="102"/>
      <c r="D73" s="102"/>
      <c r="E73" s="102"/>
      <c r="F73" s="106"/>
      <c r="G73" s="106"/>
      <c r="H73" s="106"/>
      <c r="I73" s="106"/>
      <c r="J73" s="102"/>
      <c r="K73" s="102"/>
      <c r="L73" s="105"/>
      <c r="M73" s="106"/>
      <c r="N73" s="101"/>
      <c r="O73" s="102"/>
      <c r="P73" s="102"/>
      <c r="Q73" s="102">
        <f t="shared" si="11"/>
        <v>0</v>
      </c>
      <c r="R73" s="102">
        <v>3800</v>
      </c>
      <c r="S73" s="106">
        <f t="shared" si="12"/>
        <v>0</v>
      </c>
      <c r="T73" s="102"/>
      <c r="U73" s="102"/>
      <c r="V73" s="102"/>
      <c r="W73" s="102">
        <v>30000</v>
      </c>
      <c r="X73" s="102">
        <f t="shared" si="5"/>
        <v>0</v>
      </c>
      <c r="Y73" s="101"/>
      <c r="Z73" s="102">
        <v>30000</v>
      </c>
      <c r="AA73" s="102">
        <f t="shared" si="13"/>
        <v>0</v>
      </c>
      <c r="AB73" s="102"/>
      <c r="AC73" s="102">
        <v>100000</v>
      </c>
      <c r="AD73" s="102">
        <f t="shared" si="14"/>
        <v>0</v>
      </c>
      <c r="AE73" s="101"/>
      <c r="AF73" s="106">
        <v>50000</v>
      </c>
      <c r="AG73" s="102">
        <f t="shared" si="18"/>
        <v>0</v>
      </c>
      <c r="AH73" s="102"/>
      <c r="AI73" s="102"/>
      <c r="AJ73" s="102">
        <f t="shared" si="19"/>
        <v>0</v>
      </c>
      <c r="AK73" s="101"/>
      <c r="AL73" s="106"/>
      <c r="AM73" s="108">
        <f t="shared" si="17"/>
        <v>0</v>
      </c>
      <c r="AN73" s="102"/>
      <c r="AO73" s="102"/>
      <c r="AP73" s="102"/>
      <c r="AQ73" s="127">
        <f t="shared" si="16"/>
        <v>0</v>
      </c>
      <c r="AR73" s="128">
        <f t="shared" si="9"/>
        <v>0</v>
      </c>
      <c r="AS73" s="102"/>
      <c r="AT73" s="133"/>
      <c r="AU73" s="129" t="str">
        <f t="shared" si="10"/>
        <v>Trống</v>
      </c>
      <c r="AV73" s="130">
        <f t="shared" si="2"/>
        <v>0</v>
      </c>
      <c r="AW73" s="131"/>
      <c r="AX73" s="106"/>
      <c r="AY73" s="102"/>
      <c r="AZ73" s="102"/>
      <c r="BA73" s="102"/>
      <c r="BB73" s="102"/>
      <c r="BC73" s="102"/>
      <c r="BD73" s="102"/>
      <c r="BE73" s="102"/>
      <c r="BF73" s="102"/>
      <c r="BG73" s="102"/>
      <c r="BH73" s="106"/>
      <c r="BI73" s="102"/>
      <c r="BJ73" s="102"/>
      <c r="BK73" s="102"/>
      <c r="BL73" s="102"/>
      <c r="BM73" s="102"/>
      <c r="BN73" s="102"/>
      <c r="BO73" s="132"/>
      <c r="BP73" s="102"/>
      <c r="BQ73" s="132"/>
      <c r="BR73" s="102"/>
      <c r="BS73" s="102"/>
      <c r="BT73" s="102"/>
      <c r="BU73" s="102"/>
      <c r="BV73" s="102"/>
      <c r="BW73" s="102"/>
      <c r="BX73" s="102"/>
      <c r="BY73" s="102"/>
      <c r="BZ73" s="102"/>
      <c r="CA73" s="102"/>
      <c r="CB73" s="102"/>
      <c r="CC73" s="102"/>
    </row>
    <row r="74" spans="1:81" ht="15.75" customHeight="1">
      <c r="A74" s="124"/>
      <c r="B74" s="101"/>
      <c r="C74" s="102"/>
      <c r="D74" s="102"/>
      <c r="E74" s="102"/>
      <c r="F74" s="106"/>
      <c r="G74" s="106"/>
      <c r="H74" s="106"/>
      <c r="I74" s="106"/>
      <c r="J74" s="102"/>
      <c r="K74" s="102"/>
      <c r="L74" s="105"/>
      <c r="M74" s="106"/>
      <c r="N74" s="101"/>
      <c r="O74" s="102"/>
      <c r="P74" s="102"/>
      <c r="Q74" s="102">
        <f t="shared" si="11"/>
        <v>0</v>
      </c>
      <c r="R74" s="102">
        <v>3800</v>
      </c>
      <c r="S74" s="106">
        <f t="shared" si="12"/>
        <v>0</v>
      </c>
      <c r="T74" s="102"/>
      <c r="U74" s="102"/>
      <c r="V74" s="102"/>
      <c r="W74" s="102">
        <v>30000</v>
      </c>
      <c r="X74" s="102">
        <f t="shared" si="5"/>
        <v>0</v>
      </c>
      <c r="Y74" s="101"/>
      <c r="Z74" s="102">
        <v>30000</v>
      </c>
      <c r="AA74" s="102">
        <f t="shared" si="13"/>
        <v>0</v>
      </c>
      <c r="AB74" s="102"/>
      <c r="AC74" s="102">
        <v>100000</v>
      </c>
      <c r="AD74" s="102">
        <f t="shared" si="14"/>
        <v>0</v>
      </c>
      <c r="AE74" s="101"/>
      <c r="AF74" s="106">
        <v>50000</v>
      </c>
      <c r="AG74" s="102">
        <f t="shared" si="18"/>
        <v>0</v>
      </c>
      <c r="AH74" s="102"/>
      <c r="AI74" s="102"/>
      <c r="AJ74" s="102">
        <f t="shared" si="19"/>
        <v>0</v>
      </c>
      <c r="AK74" s="101"/>
      <c r="AL74" s="106"/>
      <c r="AM74" s="108">
        <f t="shared" si="17"/>
        <v>0</v>
      </c>
      <c r="AN74" s="102"/>
      <c r="AO74" s="102"/>
      <c r="AP74" s="102"/>
      <c r="AQ74" s="127">
        <f t="shared" si="16"/>
        <v>0</v>
      </c>
      <c r="AR74" s="128">
        <f t="shared" si="9"/>
        <v>0</v>
      </c>
      <c r="AS74" s="102"/>
      <c r="AT74" s="133"/>
      <c r="AU74" s="129" t="str">
        <f t="shared" si="10"/>
        <v>Trống</v>
      </c>
      <c r="AV74" s="130">
        <f t="shared" si="2"/>
        <v>0</v>
      </c>
      <c r="AW74" s="131"/>
      <c r="AX74" s="106"/>
      <c r="AY74" s="102"/>
      <c r="AZ74" s="102"/>
      <c r="BA74" s="102"/>
      <c r="BB74" s="102"/>
      <c r="BC74" s="102"/>
      <c r="BD74" s="102"/>
      <c r="BE74" s="102"/>
      <c r="BF74" s="102"/>
      <c r="BG74" s="102"/>
      <c r="BH74" s="106"/>
      <c r="BI74" s="102"/>
      <c r="BJ74" s="102"/>
      <c r="BK74" s="102"/>
      <c r="BL74" s="102"/>
      <c r="BM74" s="102"/>
      <c r="BN74" s="102"/>
      <c r="BO74" s="132"/>
      <c r="BP74" s="102"/>
      <c r="BQ74" s="132"/>
      <c r="BR74" s="102"/>
      <c r="BS74" s="102"/>
      <c r="BT74" s="102"/>
      <c r="BU74" s="102"/>
      <c r="BV74" s="102"/>
      <c r="BW74" s="102"/>
      <c r="BX74" s="102"/>
      <c r="BY74" s="102"/>
      <c r="BZ74" s="102"/>
      <c r="CA74" s="102"/>
      <c r="CB74" s="102"/>
      <c r="CC74" s="102"/>
    </row>
    <row r="75" spans="1:81" ht="17.25" customHeight="1">
      <c r="A75" s="124"/>
      <c r="B75" s="101"/>
      <c r="C75" s="102"/>
      <c r="D75" s="102"/>
      <c r="E75" s="102"/>
      <c r="F75" s="106"/>
      <c r="G75" s="106"/>
      <c r="H75" s="106"/>
      <c r="I75" s="106"/>
      <c r="J75" s="102"/>
      <c r="K75" s="102"/>
      <c r="L75" s="105"/>
      <c r="M75" s="106"/>
      <c r="N75" s="101"/>
      <c r="O75" s="102"/>
      <c r="P75" s="102"/>
      <c r="Q75" s="102">
        <f t="shared" si="11"/>
        <v>0</v>
      </c>
      <c r="R75" s="102">
        <v>3800</v>
      </c>
      <c r="S75" s="106">
        <f t="shared" si="12"/>
        <v>0</v>
      </c>
      <c r="T75" s="102"/>
      <c r="U75" s="102"/>
      <c r="V75" s="102"/>
      <c r="W75" s="102">
        <v>30000</v>
      </c>
      <c r="X75" s="102">
        <f t="shared" si="5"/>
        <v>0</v>
      </c>
      <c r="Y75" s="101"/>
      <c r="Z75" s="102">
        <v>30000</v>
      </c>
      <c r="AA75" s="102">
        <f t="shared" si="13"/>
        <v>0</v>
      </c>
      <c r="AB75" s="102"/>
      <c r="AC75" s="102">
        <v>100000</v>
      </c>
      <c r="AD75" s="102">
        <f t="shared" si="14"/>
        <v>0</v>
      </c>
      <c r="AE75" s="101"/>
      <c r="AF75" s="106">
        <v>50000</v>
      </c>
      <c r="AG75" s="102">
        <f t="shared" si="18"/>
        <v>0</v>
      </c>
      <c r="AH75" s="102"/>
      <c r="AI75" s="102"/>
      <c r="AJ75" s="102">
        <f t="shared" si="19"/>
        <v>0</v>
      </c>
      <c r="AK75" s="101"/>
      <c r="AL75" s="106"/>
      <c r="AM75" s="108">
        <f t="shared" si="17"/>
        <v>0</v>
      </c>
      <c r="AN75" s="102"/>
      <c r="AO75" s="102"/>
      <c r="AP75" s="102"/>
      <c r="AQ75" s="127">
        <f t="shared" si="16"/>
        <v>0</v>
      </c>
      <c r="AR75" s="128">
        <f t="shared" si="9"/>
        <v>0</v>
      </c>
      <c r="AS75" s="102"/>
      <c r="AT75" s="133"/>
      <c r="AU75" s="129" t="str">
        <f t="shared" si="10"/>
        <v>Trống</v>
      </c>
      <c r="AV75" s="130">
        <f t="shared" si="2"/>
        <v>0</v>
      </c>
      <c r="AW75" s="131"/>
      <c r="AX75" s="106"/>
      <c r="AY75" s="102"/>
      <c r="AZ75" s="102"/>
      <c r="BA75" s="102"/>
      <c r="BB75" s="102"/>
      <c r="BC75" s="102"/>
      <c r="BD75" s="102"/>
      <c r="BE75" s="102"/>
      <c r="BF75" s="102"/>
      <c r="BG75" s="102"/>
      <c r="BH75" s="106"/>
      <c r="BI75" s="102"/>
      <c r="BJ75" s="102"/>
      <c r="BK75" s="102"/>
      <c r="BL75" s="102"/>
      <c r="BM75" s="102"/>
      <c r="BN75" s="102"/>
      <c r="BO75" s="132"/>
      <c r="BP75" s="102"/>
      <c r="BQ75" s="132"/>
      <c r="BR75" s="102"/>
      <c r="BS75" s="102"/>
      <c r="BT75" s="102"/>
      <c r="BU75" s="102"/>
      <c r="BV75" s="102"/>
      <c r="BW75" s="102"/>
      <c r="BX75" s="102"/>
      <c r="BY75" s="102"/>
      <c r="BZ75" s="102"/>
      <c r="CA75" s="102"/>
      <c r="CB75" s="102"/>
      <c r="CC75" s="102"/>
    </row>
    <row r="76" spans="1:81" ht="14.25" customHeight="1">
      <c r="A76" s="124"/>
      <c r="B76" s="101"/>
      <c r="C76" s="102"/>
      <c r="D76" s="102"/>
      <c r="E76" s="102"/>
      <c r="F76" s="106"/>
      <c r="G76" s="106"/>
      <c r="H76" s="106"/>
      <c r="I76" s="106"/>
      <c r="J76" s="102"/>
      <c r="K76" s="102"/>
      <c r="L76" s="105"/>
      <c r="M76" s="106"/>
      <c r="N76" s="101"/>
      <c r="O76" s="102"/>
      <c r="P76" s="102"/>
      <c r="Q76" s="102">
        <f t="shared" si="11"/>
        <v>0</v>
      </c>
      <c r="R76" s="102">
        <v>3800</v>
      </c>
      <c r="S76" s="106">
        <f t="shared" si="12"/>
        <v>0</v>
      </c>
      <c r="T76" s="102"/>
      <c r="U76" s="102"/>
      <c r="V76" s="102"/>
      <c r="W76" s="102">
        <v>30000</v>
      </c>
      <c r="X76" s="102">
        <f t="shared" si="5"/>
        <v>0</v>
      </c>
      <c r="Y76" s="101"/>
      <c r="Z76" s="102">
        <v>30000</v>
      </c>
      <c r="AA76" s="102">
        <f t="shared" si="13"/>
        <v>0</v>
      </c>
      <c r="AB76" s="102"/>
      <c r="AC76" s="102">
        <v>100000</v>
      </c>
      <c r="AD76" s="102">
        <f t="shared" si="14"/>
        <v>0</v>
      </c>
      <c r="AE76" s="101"/>
      <c r="AF76" s="106">
        <v>50000</v>
      </c>
      <c r="AG76" s="102">
        <f t="shared" si="18"/>
        <v>0</v>
      </c>
      <c r="AH76" s="102"/>
      <c r="AI76" s="102"/>
      <c r="AJ76" s="102">
        <f t="shared" si="19"/>
        <v>0</v>
      </c>
      <c r="AK76" s="101"/>
      <c r="AL76" s="106"/>
      <c r="AM76" s="108">
        <f t="shared" si="17"/>
        <v>0</v>
      </c>
      <c r="AN76" s="102"/>
      <c r="AO76" s="102"/>
      <c r="AP76" s="102"/>
      <c r="AQ76" s="127">
        <f t="shared" si="16"/>
        <v>0</v>
      </c>
      <c r="AR76" s="128">
        <f t="shared" si="9"/>
        <v>0</v>
      </c>
      <c r="AS76" s="102"/>
      <c r="AT76" s="133"/>
      <c r="AU76" s="129" t="str">
        <f t="shared" si="10"/>
        <v>Trống</v>
      </c>
      <c r="AV76" s="130">
        <f t="shared" si="2"/>
        <v>0</v>
      </c>
      <c r="AW76" s="131"/>
      <c r="AX76" s="106"/>
      <c r="AY76" s="102"/>
      <c r="AZ76" s="102"/>
      <c r="BA76" s="102"/>
      <c r="BB76" s="102"/>
      <c r="BC76" s="102"/>
      <c r="BD76" s="102"/>
      <c r="BE76" s="102"/>
      <c r="BF76" s="102"/>
      <c r="BG76" s="102"/>
      <c r="BH76" s="106"/>
      <c r="BI76" s="102"/>
      <c r="BJ76" s="102"/>
      <c r="BK76" s="102"/>
      <c r="BL76" s="102"/>
      <c r="BM76" s="102"/>
      <c r="BN76" s="102"/>
      <c r="BO76" s="132"/>
      <c r="BP76" s="102"/>
      <c r="BQ76" s="132"/>
      <c r="BR76" s="102"/>
      <c r="BS76" s="102"/>
      <c r="BT76" s="102"/>
      <c r="BU76" s="102"/>
      <c r="BV76" s="102"/>
      <c r="BW76" s="102"/>
      <c r="BX76" s="102"/>
      <c r="BY76" s="102"/>
      <c r="BZ76" s="102"/>
      <c r="CA76" s="102"/>
      <c r="CB76" s="102"/>
      <c r="CC76" s="102"/>
    </row>
    <row r="77" spans="1:81" ht="16.5" customHeight="1">
      <c r="A77" s="124"/>
      <c r="B77" s="101"/>
      <c r="C77" s="102"/>
      <c r="D77" s="102"/>
      <c r="E77" s="102"/>
      <c r="F77" s="106"/>
      <c r="G77" s="106"/>
      <c r="H77" s="106"/>
      <c r="I77" s="106"/>
      <c r="J77" s="102"/>
      <c r="K77" s="102"/>
      <c r="L77" s="105"/>
      <c r="M77" s="106"/>
      <c r="N77" s="101"/>
      <c r="O77" s="102"/>
      <c r="P77" s="102"/>
      <c r="Q77" s="102">
        <f t="shared" si="11"/>
        <v>0</v>
      </c>
      <c r="R77" s="102">
        <v>3800</v>
      </c>
      <c r="S77" s="106">
        <f t="shared" si="12"/>
        <v>0</v>
      </c>
      <c r="T77" s="102"/>
      <c r="U77" s="102"/>
      <c r="V77" s="102"/>
      <c r="W77" s="102">
        <v>30000</v>
      </c>
      <c r="X77" s="102">
        <f t="shared" si="5"/>
        <v>0</v>
      </c>
      <c r="Y77" s="101"/>
      <c r="Z77" s="102">
        <v>30000</v>
      </c>
      <c r="AA77" s="102">
        <f t="shared" si="13"/>
        <v>0</v>
      </c>
      <c r="AB77" s="102"/>
      <c r="AC77" s="102">
        <v>100000</v>
      </c>
      <c r="AD77" s="102">
        <f t="shared" si="14"/>
        <v>0</v>
      </c>
      <c r="AE77" s="101"/>
      <c r="AF77" s="106">
        <v>50000</v>
      </c>
      <c r="AG77" s="102">
        <f t="shared" si="18"/>
        <v>0</v>
      </c>
      <c r="AH77" s="102"/>
      <c r="AI77" s="102"/>
      <c r="AJ77" s="102">
        <f t="shared" si="19"/>
        <v>0</v>
      </c>
      <c r="AK77" s="101"/>
      <c r="AL77" s="106"/>
      <c r="AM77" s="108">
        <f t="shared" si="17"/>
        <v>0</v>
      </c>
      <c r="AN77" s="102"/>
      <c r="AO77" s="102"/>
      <c r="AP77" s="102"/>
      <c r="AQ77" s="127">
        <f t="shared" si="16"/>
        <v>0</v>
      </c>
      <c r="AR77" s="128">
        <f t="shared" si="9"/>
        <v>0</v>
      </c>
      <c r="AS77" s="102"/>
      <c r="AT77" s="133"/>
      <c r="AU77" s="129" t="str">
        <f t="shared" si="10"/>
        <v>Trống</v>
      </c>
      <c r="AV77" s="130">
        <f t="shared" si="2"/>
        <v>0</v>
      </c>
      <c r="AW77" s="131"/>
      <c r="AX77" s="106"/>
      <c r="AY77" s="102"/>
      <c r="AZ77" s="102"/>
      <c r="BA77" s="102"/>
      <c r="BB77" s="102"/>
      <c r="BC77" s="102"/>
      <c r="BD77" s="102"/>
      <c r="BE77" s="102"/>
      <c r="BF77" s="102"/>
      <c r="BG77" s="102"/>
      <c r="BH77" s="106"/>
      <c r="BI77" s="102"/>
      <c r="BJ77" s="102"/>
      <c r="BK77" s="102"/>
      <c r="BL77" s="102"/>
      <c r="BM77" s="102"/>
      <c r="BN77" s="102"/>
      <c r="BO77" s="132"/>
      <c r="BP77" s="102"/>
      <c r="BQ77" s="132"/>
      <c r="BR77" s="102"/>
      <c r="BS77" s="102"/>
      <c r="BT77" s="102"/>
      <c r="BU77" s="102"/>
      <c r="BV77" s="102"/>
      <c r="BW77" s="102"/>
      <c r="BX77" s="102"/>
      <c r="BY77" s="102"/>
      <c r="BZ77" s="102"/>
      <c r="CA77" s="102"/>
      <c r="CB77" s="102"/>
      <c r="CC77" s="102"/>
    </row>
    <row r="78" spans="1:81" ht="16.5" customHeight="1">
      <c r="A78" s="124"/>
      <c r="B78" s="101"/>
      <c r="C78" s="102"/>
      <c r="D78" s="102"/>
      <c r="E78" s="102"/>
      <c r="F78" s="106"/>
      <c r="G78" s="106"/>
      <c r="H78" s="106"/>
      <c r="I78" s="106"/>
      <c r="J78" s="102"/>
      <c r="K78" s="102"/>
      <c r="L78" s="105"/>
      <c r="M78" s="106"/>
      <c r="N78" s="101"/>
      <c r="O78" s="102"/>
      <c r="P78" s="102"/>
      <c r="Q78" s="102">
        <f t="shared" si="11"/>
        <v>0</v>
      </c>
      <c r="R78" s="102">
        <v>3800</v>
      </c>
      <c r="S78" s="106">
        <f t="shared" si="12"/>
        <v>0</v>
      </c>
      <c r="T78" s="102"/>
      <c r="U78" s="102"/>
      <c r="V78" s="102"/>
      <c r="W78" s="102">
        <v>30000</v>
      </c>
      <c r="X78" s="102">
        <f t="shared" si="5"/>
        <v>0</v>
      </c>
      <c r="Y78" s="101"/>
      <c r="Z78" s="102">
        <v>30000</v>
      </c>
      <c r="AA78" s="102">
        <f t="shared" si="13"/>
        <v>0</v>
      </c>
      <c r="AB78" s="102"/>
      <c r="AC78" s="102">
        <v>100000</v>
      </c>
      <c r="AD78" s="102">
        <f t="shared" si="14"/>
        <v>0</v>
      </c>
      <c r="AE78" s="101"/>
      <c r="AF78" s="106">
        <v>50000</v>
      </c>
      <c r="AG78" s="102">
        <f t="shared" si="18"/>
        <v>0</v>
      </c>
      <c r="AH78" s="102"/>
      <c r="AI78" s="102"/>
      <c r="AJ78" s="102">
        <f t="shared" si="19"/>
        <v>0</v>
      </c>
      <c r="AK78" s="101"/>
      <c r="AL78" s="106"/>
      <c r="AM78" s="108">
        <f t="shared" si="17"/>
        <v>0</v>
      </c>
      <c r="AN78" s="102"/>
      <c r="AO78" s="102"/>
      <c r="AP78" s="102"/>
      <c r="AQ78" s="127">
        <f t="shared" si="16"/>
        <v>0</v>
      </c>
      <c r="AR78" s="128">
        <f t="shared" si="9"/>
        <v>0</v>
      </c>
      <c r="AS78" s="102"/>
      <c r="AT78" s="133"/>
      <c r="AU78" s="129" t="str">
        <f t="shared" si="10"/>
        <v>Trống</v>
      </c>
      <c r="AV78" s="130">
        <f t="shared" si="2"/>
        <v>0</v>
      </c>
      <c r="AW78" s="131"/>
      <c r="AX78" s="106"/>
      <c r="AY78" s="102"/>
      <c r="AZ78" s="102"/>
      <c r="BA78" s="102"/>
      <c r="BB78" s="102"/>
      <c r="BC78" s="102"/>
      <c r="BD78" s="102"/>
      <c r="BE78" s="102"/>
      <c r="BF78" s="102"/>
      <c r="BG78" s="102"/>
      <c r="BH78" s="106"/>
      <c r="BI78" s="102"/>
      <c r="BJ78" s="102"/>
      <c r="BK78" s="102"/>
      <c r="BL78" s="102"/>
      <c r="BM78" s="102"/>
      <c r="BN78" s="102"/>
      <c r="BO78" s="132"/>
      <c r="BP78" s="102"/>
      <c r="BQ78" s="132"/>
      <c r="BR78" s="102"/>
      <c r="BS78" s="102"/>
      <c r="BT78" s="102"/>
      <c r="BU78" s="102"/>
      <c r="BV78" s="102"/>
      <c r="BW78" s="102"/>
      <c r="BX78" s="102"/>
      <c r="BY78" s="102"/>
      <c r="BZ78" s="102"/>
      <c r="CA78" s="102"/>
      <c r="CB78" s="102"/>
      <c r="CC78" s="102"/>
    </row>
    <row r="79" spans="1:81" ht="14.25" customHeight="1">
      <c r="A79" s="124"/>
      <c r="B79" s="101"/>
      <c r="C79" s="102"/>
      <c r="D79" s="102"/>
      <c r="E79" s="102"/>
      <c r="F79" s="106"/>
      <c r="G79" s="106"/>
      <c r="H79" s="106"/>
      <c r="I79" s="106"/>
      <c r="J79" s="102"/>
      <c r="K79" s="102"/>
      <c r="L79" s="105"/>
      <c r="M79" s="106"/>
      <c r="N79" s="101"/>
      <c r="O79" s="102"/>
      <c r="P79" s="102"/>
      <c r="Q79" s="102">
        <f t="shared" si="11"/>
        <v>0</v>
      </c>
      <c r="R79" s="102">
        <v>3800</v>
      </c>
      <c r="S79" s="106">
        <f t="shared" si="12"/>
        <v>0</v>
      </c>
      <c r="T79" s="102"/>
      <c r="U79" s="102"/>
      <c r="V79" s="102"/>
      <c r="W79" s="102">
        <v>30000</v>
      </c>
      <c r="X79" s="102">
        <f t="shared" si="5"/>
        <v>0</v>
      </c>
      <c r="Y79" s="102"/>
      <c r="Z79" s="102">
        <v>30000</v>
      </c>
      <c r="AA79" s="102">
        <f t="shared" si="13"/>
        <v>0</v>
      </c>
      <c r="AB79" s="102"/>
      <c r="AC79" s="102">
        <v>100000</v>
      </c>
      <c r="AD79" s="102">
        <f>AB79*AC79</f>
        <v>0</v>
      </c>
      <c r="AE79" s="102"/>
      <c r="AF79" s="102"/>
      <c r="AG79" s="102"/>
      <c r="AH79" s="102"/>
      <c r="AI79" s="102"/>
      <c r="AJ79" s="102"/>
      <c r="AK79" s="101"/>
      <c r="AL79" s="102"/>
      <c r="AM79" s="108">
        <f t="shared" ref="AM79:AM128" si="20">AL79*AK79</f>
        <v>0</v>
      </c>
      <c r="AN79" s="102"/>
      <c r="AO79" s="102"/>
      <c r="AP79" s="102"/>
      <c r="AQ79" s="127">
        <f t="shared" si="16"/>
        <v>0</v>
      </c>
      <c r="AR79" s="128">
        <f t="shared" si="9"/>
        <v>0</v>
      </c>
      <c r="AS79" s="102"/>
      <c r="AT79" s="133"/>
      <c r="AU79" s="129" t="str">
        <f t="shared" si="10"/>
        <v>Trống</v>
      </c>
      <c r="AV79" s="130">
        <f t="shared" si="2"/>
        <v>0</v>
      </c>
      <c r="AW79" s="131"/>
      <c r="AX79" s="106"/>
      <c r="AY79" s="102"/>
      <c r="AZ79" s="102"/>
      <c r="BA79" s="102"/>
      <c r="BB79" s="102"/>
      <c r="BC79" s="102"/>
      <c r="BD79" s="102"/>
      <c r="BE79" s="102"/>
      <c r="BF79" s="102"/>
      <c r="BG79" s="102"/>
      <c r="BH79" s="106"/>
      <c r="BI79" s="102"/>
      <c r="BJ79" s="102"/>
      <c r="BK79" s="102"/>
      <c r="BL79" s="102"/>
      <c r="BM79" s="102"/>
      <c r="BN79" s="102"/>
      <c r="BO79" s="102"/>
      <c r="BP79" s="102"/>
      <c r="BQ79" s="132"/>
      <c r="BR79" s="102"/>
      <c r="BS79" s="102"/>
      <c r="BT79" s="102"/>
      <c r="BU79" s="102"/>
      <c r="BV79" s="102"/>
      <c r="BW79" s="102"/>
      <c r="BX79" s="102"/>
      <c r="BY79" s="102"/>
      <c r="BZ79" s="102"/>
      <c r="CA79" s="102"/>
      <c r="CB79" s="102"/>
      <c r="CC79" s="102"/>
    </row>
    <row r="80" spans="1:81" ht="14.25" customHeight="1">
      <c r="A80" s="124"/>
      <c r="B80" s="101"/>
      <c r="C80" s="102"/>
      <c r="D80" s="102"/>
      <c r="E80" s="102"/>
      <c r="F80" s="106"/>
      <c r="G80" s="106"/>
      <c r="H80" s="106"/>
      <c r="I80" s="106"/>
      <c r="J80" s="102">
        <v>30</v>
      </c>
      <c r="K80" s="102">
        <v>30</v>
      </c>
      <c r="L80" s="105"/>
      <c r="M80" s="106"/>
      <c r="N80" s="101"/>
      <c r="O80" s="102"/>
      <c r="P80" s="102"/>
      <c r="Q80" s="102">
        <f t="shared" si="11"/>
        <v>0</v>
      </c>
      <c r="R80" s="102">
        <v>3800</v>
      </c>
      <c r="S80" s="106">
        <f t="shared" si="12"/>
        <v>0</v>
      </c>
      <c r="T80" s="102"/>
      <c r="U80" s="102"/>
      <c r="V80" s="102"/>
      <c r="W80" s="102">
        <v>30000</v>
      </c>
      <c r="X80" s="102">
        <f t="shared" si="5"/>
        <v>0</v>
      </c>
      <c r="Y80" s="102"/>
      <c r="Z80" s="102">
        <v>30000</v>
      </c>
      <c r="AA80" s="102">
        <f t="shared" si="13"/>
        <v>0</v>
      </c>
      <c r="AB80" s="102"/>
      <c r="AC80" s="102">
        <v>100000</v>
      </c>
      <c r="AD80" s="102">
        <f t="shared" ref="AD80:AD109" si="21">AC80*AB80</f>
        <v>0</v>
      </c>
      <c r="AE80" s="102"/>
      <c r="AF80" s="102"/>
      <c r="AG80" s="102"/>
      <c r="AH80" s="102"/>
      <c r="AI80" s="102"/>
      <c r="AJ80" s="102"/>
      <c r="AK80" s="101"/>
      <c r="AL80" s="102"/>
      <c r="AM80" s="108">
        <f t="shared" si="20"/>
        <v>0</v>
      </c>
      <c r="AN80" s="102"/>
      <c r="AO80" s="102"/>
      <c r="AP80" s="102"/>
      <c r="AQ80" s="127">
        <f t="shared" si="16"/>
        <v>0</v>
      </c>
      <c r="AR80" s="128">
        <f t="shared" si="9"/>
        <v>0</v>
      </c>
      <c r="AS80" s="102"/>
      <c r="AT80" s="133"/>
      <c r="AU80" s="129" t="str">
        <f t="shared" si="10"/>
        <v>Trống</v>
      </c>
      <c r="AV80" s="130">
        <f t="shared" si="2"/>
        <v>0</v>
      </c>
      <c r="AW80" s="131"/>
      <c r="AX80" s="106"/>
      <c r="AY80" s="102"/>
      <c r="AZ80" s="102"/>
      <c r="BA80" s="102"/>
      <c r="BB80" s="102"/>
      <c r="BC80" s="102"/>
      <c r="BD80" s="102"/>
      <c r="BE80" s="102"/>
      <c r="BF80" s="102"/>
      <c r="BG80" s="102"/>
      <c r="BH80" s="106"/>
      <c r="BI80" s="102"/>
      <c r="BJ80" s="102"/>
      <c r="BK80" s="102"/>
      <c r="BL80" s="102"/>
      <c r="BM80" s="102"/>
      <c r="BN80" s="102"/>
      <c r="BO80" s="132"/>
      <c r="BP80" s="102"/>
      <c r="BQ80" s="132"/>
      <c r="BR80" s="102"/>
      <c r="BS80" s="102"/>
      <c r="BT80" s="102"/>
      <c r="BU80" s="102"/>
      <c r="BV80" s="102"/>
      <c r="BW80" s="102"/>
      <c r="BX80" s="102"/>
      <c r="BY80" s="102"/>
      <c r="BZ80" s="102"/>
      <c r="CA80" s="102"/>
      <c r="CB80" s="102"/>
      <c r="CC80" s="102"/>
    </row>
    <row r="81" spans="1:81" ht="15.75" customHeight="1">
      <c r="A81" s="124"/>
      <c r="B81" s="101"/>
      <c r="C81" s="102"/>
      <c r="D81" s="102"/>
      <c r="E81" s="102"/>
      <c r="F81" s="106"/>
      <c r="G81" s="106"/>
      <c r="H81" s="106"/>
      <c r="I81" s="106"/>
      <c r="J81" s="102">
        <v>30</v>
      </c>
      <c r="K81" s="102">
        <v>30</v>
      </c>
      <c r="L81" s="105"/>
      <c r="M81" s="106"/>
      <c r="N81" s="101"/>
      <c r="O81" s="102"/>
      <c r="P81" s="102"/>
      <c r="Q81" s="102">
        <f t="shared" si="11"/>
        <v>0</v>
      </c>
      <c r="R81" s="102">
        <v>3800</v>
      </c>
      <c r="S81" s="106">
        <f t="shared" si="12"/>
        <v>0</v>
      </c>
      <c r="T81" s="102"/>
      <c r="U81" s="102"/>
      <c r="V81" s="102"/>
      <c r="W81" s="102">
        <v>30000</v>
      </c>
      <c r="X81" s="102">
        <f t="shared" si="5"/>
        <v>0</v>
      </c>
      <c r="Y81" s="102"/>
      <c r="Z81" s="102">
        <v>30000</v>
      </c>
      <c r="AA81" s="102">
        <f t="shared" si="13"/>
        <v>0</v>
      </c>
      <c r="AB81" s="102"/>
      <c r="AC81" s="102">
        <v>100000</v>
      </c>
      <c r="AD81" s="102">
        <f t="shared" si="21"/>
        <v>0</v>
      </c>
      <c r="AE81" s="102"/>
      <c r="AF81" s="102"/>
      <c r="AG81" s="102"/>
      <c r="AH81" s="102"/>
      <c r="AI81" s="102"/>
      <c r="AJ81" s="102"/>
      <c r="AK81" s="101"/>
      <c r="AL81" s="102"/>
      <c r="AM81" s="108">
        <f t="shared" si="20"/>
        <v>0</v>
      </c>
      <c r="AN81" s="102"/>
      <c r="AO81" s="102"/>
      <c r="AP81" s="102"/>
      <c r="AQ81" s="127">
        <f t="shared" si="16"/>
        <v>0</v>
      </c>
      <c r="AR81" s="128">
        <f t="shared" si="9"/>
        <v>0</v>
      </c>
      <c r="AS81" s="102"/>
      <c r="AT81" s="133"/>
      <c r="AU81" s="129" t="str">
        <f t="shared" si="10"/>
        <v>Trống</v>
      </c>
      <c r="AV81" s="130">
        <f t="shared" si="2"/>
        <v>0</v>
      </c>
      <c r="AW81" s="131"/>
      <c r="AX81" s="106"/>
      <c r="AY81" s="102"/>
      <c r="AZ81" s="102"/>
      <c r="BA81" s="102"/>
      <c r="BB81" s="102"/>
      <c r="BC81" s="102"/>
      <c r="BD81" s="102"/>
      <c r="BE81" s="102"/>
      <c r="BF81" s="102"/>
      <c r="BG81" s="102"/>
      <c r="BH81" s="106"/>
      <c r="BI81" s="102"/>
      <c r="BJ81" s="102"/>
      <c r="BK81" s="102"/>
      <c r="BL81" s="102"/>
      <c r="BM81" s="102"/>
      <c r="BN81" s="102"/>
      <c r="BO81" s="132"/>
      <c r="BP81" s="102"/>
      <c r="BQ81" s="132"/>
      <c r="BR81" s="102"/>
      <c r="BS81" s="102"/>
      <c r="BT81" s="102"/>
      <c r="BU81" s="102"/>
      <c r="BV81" s="102"/>
      <c r="BW81" s="102"/>
      <c r="BX81" s="102"/>
      <c r="BY81" s="102"/>
      <c r="BZ81" s="102"/>
      <c r="CA81" s="102"/>
      <c r="CB81" s="102"/>
      <c r="CC81" s="102"/>
    </row>
    <row r="82" spans="1:81" ht="15" customHeight="1">
      <c r="A82" s="124"/>
      <c r="B82" s="101"/>
      <c r="C82" s="102"/>
      <c r="D82" s="102"/>
      <c r="E82" s="102"/>
      <c r="F82" s="106"/>
      <c r="G82" s="106"/>
      <c r="H82" s="106"/>
      <c r="I82" s="106"/>
      <c r="J82" s="102">
        <v>30</v>
      </c>
      <c r="K82" s="102">
        <v>30</v>
      </c>
      <c r="L82" s="105"/>
      <c r="M82" s="106"/>
      <c r="N82" s="101"/>
      <c r="O82" s="102"/>
      <c r="P82" s="102"/>
      <c r="Q82" s="102">
        <f t="shared" si="11"/>
        <v>0</v>
      </c>
      <c r="R82" s="102">
        <v>3800</v>
      </c>
      <c r="S82" s="106">
        <f t="shared" si="12"/>
        <v>0</v>
      </c>
      <c r="T82" s="102"/>
      <c r="U82" s="102"/>
      <c r="V82" s="102"/>
      <c r="W82" s="102">
        <v>30000</v>
      </c>
      <c r="X82" s="102">
        <f t="shared" si="5"/>
        <v>0</v>
      </c>
      <c r="Y82" s="101"/>
      <c r="Z82" s="102">
        <v>30000</v>
      </c>
      <c r="AA82" s="102">
        <f t="shared" si="13"/>
        <v>0</v>
      </c>
      <c r="AB82" s="102"/>
      <c r="AC82" s="102">
        <v>100000</v>
      </c>
      <c r="AD82" s="102">
        <f t="shared" si="21"/>
        <v>0</v>
      </c>
      <c r="AE82" s="102"/>
      <c r="AF82" s="102"/>
      <c r="AG82" s="102"/>
      <c r="AH82" s="102"/>
      <c r="AI82" s="102"/>
      <c r="AJ82" s="102"/>
      <c r="AK82" s="101"/>
      <c r="AL82" s="102"/>
      <c r="AM82" s="108">
        <f t="shared" si="20"/>
        <v>0</v>
      </c>
      <c r="AN82" s="102"/>
      <c r="AO82" s="102"/>
      <c r="AP82" s="102"/>
      <c r="AQ82" s="127">
        <f t="shared" si="16"/>
        <v>0</v>
      </c>
      <c r="AR82" s="128">
        <f t="shared" si="9"/>
        <v>0</v>
      </c>
      <c r="AS82" s="102"/>
      <c r="AT82" s="133"/>
      <c r="AU82" s="129" t="str">
        <f t="shared" si="10"/>
        <v>Trống</v>
      </c>
      <c r="AV82" s="130">
        <f t="shared" si="2"/>
        <v>0</v>
      </c>
      <c r="AW82" s="131"/>
      <c r="AX82" s="106"/>
      <c r="AY82" s="102"/>
      <c r="AZ82" s="102"/>
      <c r="BA82" s="102"/>
      <c r="BB82" s="102"/>
      <c r="BC82" s="102"/>
      <c r="BD82" s="106">
        <v>3297</v>
      </c>
      <c r="BE82" s="106">
        <v>3503</v>
      </c>
      <c r="BF82" s="106">
        <f>BE82-BD82</f>
        <v>206</v>
      </c>
      <c r="BG82" s="102">
        <v>3800</v>
      </c>
      <c r="BH82" s="106">
        <f>BF82*BG82</f>
        <v>782800</v>
      </c>
      <c r="BI82" s="102"/>
      <c r="BJ82" s="102"/>
      <c r="BK82" s="102"/>
      <c r="BL82" s="102"/>
      <c r="BM82" s="102"/>
      <c r="BN82" s="102"/>
      <c r="BO82" s="132"/>
      <c r="BP82" s="102"/>
      <c r="BQ82" s="132"/>
      <c r="BR82" s="102"/>
      <c r="BS82" s="102"/>
      <c r="BT82" s="102"/>
      <c r="BU82" s="102"/>
      <c r="BV82" s="102"/>
      <c r="BW82" s="102"/>
      <c r="BX82" s="102"/>
      <c r="BY82" s="102"/>
      <c r="BZ82" s="102"/>
      <c r="CA82" s="102"/>
      <c r="CB82" s="102"/>
      <c r="CC82" s="102"/>
    </row>
    <row r="83" spans="1:81" ht="15.75" customHeight="1">
      <c r="A83" s="124"/>
      <c r="B83" s="101"/>
      <c r="C83" s="102"/>
      <c r="D83" s="102"/>
      <c r="E83" s="102"/>
      <c r="F83" s="106"/>
      <c r="G83" s="106"/>
      <c r="H83" s="106"/>
      <c r="I83" s="106"/>
      <c r="J83" s="102">
        <v>30</v>
      </c>
      <c r="K83" s="102">
        <v>30</v>
      </c>
      <c r="L83" s="105"/>
      <c r="M83" s="106"/>
      <c r="N83" s="101"/>
      <c r="O83" s="102"/>
      <c r="P83" s="102"/>
      <c r="Q83" s="102">
        <f t="shared" si="11"/>
        <v>0</v>
      </c>
      <c r="R83" s="102">
        <v>3800</v>
      </c>
      <c r="S83" s="106">
        <f t="shared" si="12"/>
        <v>0</v>
      </c>
      <c r="T83" s="102"/>
      <c r="U83" s="102"/>
      <c r="V83" s="102"/>
      <c r="W83" s="102">
        <v>30000</v>
      </c>
      <c r="X83" s="102">
        <f t="shared" si="5"/>
        <v>0</v>
      </c>
      <c r="Y83" s="101"/>
      <c r="Z83" s="102">
        <v>30000</v>
      </c>
      <c r="AA83" s="102">
        <f t="shared" si="13"/>
        <v>0</v>
      </c>
      <c r="AB83" s="102"/>
      <c r="AC83" s="102">
        <v>100000</v>
      </c>
      <c r="AD83" s="102">
        <f t="shared" si="21"/>
        <v>0</v>
      </c>
      <c r="AE83" s="102"/>
      <c r="AF83" s="102"/>
      <c r="AG83" s="102"/>
      <c r="AH83" s="102"/>
      <c r="AI83" s="102"/>
      <c r="AJ83" s="102"/>
      <c r="AK83" s="101"/>
      <c r="AL83" s="102"/>
      <c r="AM83" s="108">
        <f t="shared" si="20"/>
        <v>0</v>
      </c>
      <c r="AN83" s="102"/>
      <c r="AO83" s="102"/>
      <c r="AP83" s="102"/>
      <c r="AQ83" s="127">
        <f t="shared" si="16"/>
        <v>0</v>
      </c>
      <c r="AR83" s="128">
        <f t="shared" si="9"/>
        <v>0</v>
      </c>
      <c r="AS83" s="102"/>
      <c r="AT83" s="133"/>
      <c r="AU83" s="129" t="str">
        <f t="shared" si="10"/>
        <v>Trống</v>
      </c>
      <c r="AV83" s="130">
        <f t="shared" si="2"/>
        <v>0</v>
      </c>
      <c r="AW83" s="131"/>
      <c r="AX83" s="106"/>
      <c r="AY83" s="102"/>
      <c r="AZ83" s="102"/>
      <c r="BA83" s="102"/>
      <c r="BB83" s="102"/>
      <c r="BC83" s="102"/>
      <c r="BD83" s="102"/>
      <c r="BE83" s="102"/>
      <c r="BF83" s="102"/>
      <c r="BG83" s="102"/>
      <c r="BH83" s="106"/>
      <c r="BI83" s="102"/>
      <c r="BJ83" s="102"/>
      <c r="BK83" s="102"/>
      <c r="BL83" s="102">
        <v>30000</v>
      </c>
      <c r="BM83" s="102"/>
      <c r="BN83" s="102">
        <f>BK83*BL83</f>
        <v>0</v>
      </c>
      <c r="BO83" s="132"/>
      <c r="BP83" s="102"/>
      <c r="BQ83" s="132"/>
      <c r="BR83" s="102"/>
      <c r="BS83" s="102"/>
      <c r="BT83" s="102"/>
      <c r="BU83" s="102"/>
      <c r="BV83" s="102"/>
      <c r="BW83" s="102"/>
      <c r="BX83" s="102"/>
      <c r="BY83" s="102"/>
      <c r="BZ83" s="102"/>
      <c r="CA83" s="102"/>
      <c r="CB83" s="102"/>
      <c r="CC83" s="102"/>
    </row>
    <row r="84" spans="1:81" ht="15" customHeight="1">
      <c r="A84" s="124"/>
      <c r="B84" s="101"/>
      <c r="C84" s="102"/>
      <c r="D84" s="102"/>
      <c r="E84" s="102"/>
      <c r="F84" s="106"/>
      <c r="G84" s="106"/>
      <c r="H84" s="106"/>
      <c r="I84" s="106"/>
      <c r="J84" s="102">
        <v>30</v>
      </c>
      <c r="K84" s="102">
        <v>30</v>
      </c>
      <c r="L84" s="105"/>
      <c r="M84" s="106"/>
      <c r="N84" s="101"/>
      <c r="O84" s="102"/>
      <c r="P84" s="102"/>
      <c r="Q84" s="102">
        <f t="shared" si="11"/>
        <v>0</v>
      </c>
      <c r="R84" s="102">
        <v>3800</v>
      </c>
      <c r="S84" s="106">
        <f t="shared" si="12"/>
        <v>0</v>
      </c>
      <c r="T84" s="102"/>
      <c r="U84" s="102"/>
      <c r="V84" s="102"/>
      <c r="W84" s="102">
        <v>30000</v>
      </c>
      <c r="X84" s="102">
        <f t="shared" si="5"/>
        <v>0</v>
      </c>
      <c r="Y84" s="101"/>
      <c r="Z84" s="102">
        <v>30000</v>
      </c>
      <c r="AA84" s="102">
        <f t="shared" si="13"/>
        <v>0</v>
      </c>
      <c r="AB84" s="102"/>
      <c r="AC84" s="102">
        <v>100000</v>
      </c>
      <c r="AD84" s="102">
        <f t="shared" si="21"/>
        <v>0</v>
      </c>
      <c r="AE84" s="102"/>
      <c r="AF84" s="102"/>
      <c r="AG84" s="102"/>
      <c r="AH84" s="102"/>
      <c r="AI84" s="102"/>
      <c r="AJ84" s="102"/>
      <c r="AK84" s="101"/>
      <c r="AL84" s="102"/>
      <c r="AM84" s="108">
        <f t="shared" si="20"/>
        <v>0</v>
      </c>
      <c r="AN84" s="102"/>
      <c r="AO84" s="102"/>
      <c r="AP84" s="102"/>
      <c r="AQ84" s="127">
        <f t="shared" si="16"/>
        <v>0</v>
      </c>
      <c r="AR84" s="128">
        <f t="shared" si="9"/>
        <v>0</v>
      </c>
      <c r="AS84" s="102"/>
      <c r="AT84" s="133"/>
      <c r="AU84" s="129" t="str">
        <f t="shared" si="10"/>
        <v>Trống</v>
      </c>
      <c r="AV84" s="130">
        <f t="shared" si="2"/>
        <v>0</v>
      </c>
      <c r="AW84" s="131"/>
      <c r="AX84" s="106"/>
      <c r="AY84" s="102"/>
      <c r="AZ84" s="102"/>
      <c r="BA84" s="102"/>
      <c r="BB84" s="102"/>
      <c r="BC84" s="102"/>
      <c r="BD84" s="102"/>
      <c r="BE84" s="102"/>
      <c r="BF84" s="102"/>
      <c r="BG84" s="102"/>
      <c r="BH84" s="106"/>
      <c r="BI84" s="102"/>
      <c r="BJ84" s="102"/>
      <c r="BK84" s="102"/>
      <c r="BL84" s="102"/>
      <c r="BM84" s="102"/>
      <c r="BN84" s="102"/>
      <c r="BO84" s="132"/>
      <c r="BP84" s="102"/>
      <c r="BQ84" s="132"/>
      <c r="BR84" s="102"/>
      <c r="BS84" s="102"/>
      <c r="BT84" s="102"/>
      <c r="BU84" s="102"/>
      <c r="BV84" s="102"/>
      <c r="BW84" s="102"/>
      <c r="BX84" s="102"/>
      <c r="BY84" s="102"/>
      <c r="BZ84" s="102"/>
      <c r="CA84" s="102"/>
      <c r="CB84" s="102"/>
      <c r="CC84" s="102"/>
    </row>
    <row r="85" spans="1:81" ht="17.25" customHeight="1">
      <c r="A85" s="124"/>
      <c r="B85" s="101"/>
      <c r="C85" s="102"/>
      <c r="D85" s="102"/>
      <c r="E85" s="102"/>
      <c r="F85" s="106"/>
      <c r="G85" s="106"/>
      <c r="H85" s="106"/>
      <c r="I85" s="106"/>
      <c r="J85" s="102">
        <v>30</v>
      </c>
      <c r="K85" s="102">
        <v>30</v>
      </c>
      <c r="L85" s="105"/>
      <c r="M85" s="106"/>
      <c r="N85" s="101"/>
      <c r="O85" s="102"/>
      <c r="P85" s="102"/>
      <c r="Q85" s="102">
        <f t="shared" si="11"/>
        <v>0</v>
      </c>
      <c r="R85" s="102">
        <v>3800</v>
      </c>
      <c r="S85" s="106">
        <f t="shared" si="12"/>
        <v>0</v>
      </c>
      <c r="T85" s="102"/>
      <c r="U85" s="102"/>
      <c r="V85" s="102"/>
      <c r="W85" s="102">
        <v>30000</v>
      </c>
      <c r="X85" s="102">
        <f t="shared" si="5"/>
        <v>0</v>
      </c>
      <c r="Y85" s="101"/>
      <c r="Z85" s="102">
        <v>30000</v>
      </c>
      <c r="AA85" s="102">
        <f t="shared" si="13"/>
        <v>0</v>
      </c>
      <c r="AB85" s="102"/>
      <c r="AC85" s="102">
        <v>100000</v>
      </c>
      <c r="AD85" s="102">
        <f t="shared" si="21"/>
        <v>0</v>
      </c>
      <c r="AE85" s="102"/>
      <c r="AF85" s="102"/>
      <c r="AG85" s="102"/>
      <c r="AH85" s="102"/>
      <c r="AI85" s="102"/>
      <c r="AJ85" s="102"/>
      <c r="AK85" s="101"/>
      <c r="AL85" s="102"/>
      <c r="AM85" s="108">
        <f t="shared" si="20"/>
        <v>0</v>
      </c>
      <c r="AN85" s="102"/>
      <c r="AO85" s="102"/>
      <c r="AP85" s="102"/>
      <c r="AQ85" s="127">
        <f t="shared" si="16"/>
        <v>0</v>
      </c>
      <c r="AR85" s="128">
        <f t="shared" si="9"/>
        <v>0</v>
      </c>
      <c r="AS85" s="102"/>
      <c r="AT85" s="133"/>
      <c r="AU85" s="129" t="str">
        <f t="shared" si="10"/>
        <v>Trống</v>
      </c>
      <c r="AV85" s="130">
        <f t="shared" si="2"/>
        <v>0</v>
      </c>
      <c r="AW85" s="131"/>
      <c r="AX85" s="106"/>
      <c r="AY85" s="102"/>
      <c r="AZ85" s="102"/>
      <c r="BA85" s="102"/>
      <c r="BB85" s="102"/>
      <c r="BC85" s="102"/>
      <c r="BD85" s="102"/>
      <c r="BE85" s="102"/>
      <c r="BF85" s="102"/>
      <c r="BG85" s="102"/>
      <c r="BH85" s="106"/>
      <c r="BI85" s="102"/>
      <c r="BJ85" s="102"/>
      <c r="BK85" s="102"/>
      <c r="BL85" s="102"/>
      <c r="BM85" s="102"/>
      <c r="BN85" s="102"/>
      <c r="BO85" s="132"/>
      <c r="BP85" s="102"/>
      <c r="BQ85" s="132"/>
      <c r="BR85" s="102"/>
      <c r="BS85" s="102"/>
      <c r="BT85" s="102"/>
      <c r="BU85" s="102"/>
      <c r="BV85" s="102"/>
      <c r="BW85" s="102"/>
      <c r="BX85" s="102"/>
      <c r="BY85" s="102"/>
      <c r="BZ85" s="102"/>
      <c r="CA85" s="102"/>
      <c r="CB85" s="102"/>
      <c r="CC85" s="102"/>
    </row>
    <row r="86" spans="1:81" ht="15.75" customHeight="1">
      <c r="A86" s="124"/>
      <c r="B86" s="101"/>
      <c r="C86" s="102"/>
      <c r="D86" s="102"/>
      <c r="E86" s="102"/>
      <c r="F86" s="106"/>
      <c r="G86" s="106"/>
      <c r="H86" s="106"/>
      <c r="I86" s="106"/>
      <c r="J86" s="102">
        <v>30</v>
      </c>
      <c r="K86" s="102">
        <v>30</v>
      </c>
      <c r="L86" s="105"/>
      <c r="M86" s="106"/>
      <c r="N86" s="101"/>
      <c r="O86" s="102"/>
      <c r="P86" s="102"/>
      <c r="Q86" s="102">
        <f t="shared" si="11"/>
        <v>0</v>
      </c>
      <c r="R86" s="102">
        <v>3800</v>
      </c>
      <c r="S86" s="106">
        <f t="shared" si="12"/>
        <v>0</v>
      </c>
      <c r="T86" s="102"/>
      <c r="U86" s="102"/>
      <c r="V86" s="102"/>
      <c r="W86" s="102">
        <v>30000</v>
      </c>
      <c r="X86" s="102">
        <f t="shared" si="5"/>
        <v>0</v>
      </c>
      <c r="Y86" s="101"/>
      <c r="Z86" s="102">
        <v>30000</v>
      </c>
      <c r="AA86" s="102">
        <f t="shared" si="13"/>
        <v>0</v>
      </c>
      <c r="AB86" s="102"/>
      <c r="AC86" s="102">
        <v>100000</v>
      </c>
      <c r="AD86" s="102">
        <f t="shared" si="21"/>
        <v>0</v>
      </c>
      <c r="AE86" s="102"/>
      <c r="AF86" s="102"/>
      <c r="AG86" s="102"/>
      <c r="AH86" s="102"/>
      <c r="AI86" s="102"/>
      <c r="AJ86" s="102"/>
      <c r="AK86" s="101"/>
      <c r="AL86" s="102"/>
      <c r="AM86" s="108">
        <f t="shared" si="20"/>
        <v>0</v>
      </c>
      <c r="AN86" s="102"/>
      <c r="AO86" s="102"/>
      <c r="AP86" s="102"/>
      <c r="AQ86" s="127">
        <f t="shared" si="16"/>
        <v>0</v>
      </c>
      <c r="AR86" s="128">
        <f t="shared" si="9"/>
        <v>0</v>
      </c>
      <c r="AS86" s="102"/>
      <c r="AT86" s="133"/>
      <c r="AU86" s="129" t="str">
        <f t="shared" si="10"/>
        <v>Trống</v>
      </c>
      <c r="AV86" s="130">
        <f t="shared" si="2"/>
        <v>0</v>
      </c>
      <c r="AW86" s="131"/>
      <c r="AX86" s="106"/>
      <c r="AY86" s="102"/>
      <c r="AZ86" s="102"/>
      <c r="BA86" s="102"/>
      <c r="BB86" s="102"/>
      <c r="BC86" s="102"/>
      <c r="BD86" s="102"/>
      <c r="BE86" s="102"/>
      <c r="BF86" s="102"/>
      <c r="BG86" s="102"/>
      <c r="BH86" s="106"/>
      <c r="BI86" s="102"/>
      <c r="BJ86" s="102"/>
      <c r="BK86" s="102"/>
      <c r="BL86" s="102"/>
      <c r="BM86" s="102"/>
      <c r="BN86" s="102"/>
      <c r="BO86" s="132"/>
      <c r="BP86" s="102"/>
      <c r="BQ86" s="132"/>
      <c r="BR86" s="102"/>
      <c r="BS86" s="102"/>
      <c r="BT86" s="102"/>
      <c r="BU86" s="102"/>
      <c r="BV86" s="102"/>
      <c r="BW86" s="102"/>
      <c r="BX86" s="102"/>
      <c r="BY86" s="102"/>
      <c r="BZ86" s="102"/>
      <c r="CA86" s="102"/>
      <c r="CB86" s="102"/>
      <c r="CC86" s="102"/>
    </row>
    <row r="87" spans="1:81" ht="16.5" customHeight="1">
      <c r="A87" s="124"/>
      <c r="B87" s="101"/>
      <c r="C87" s="102"/>
      <c r="D87" s="102"/>
      <c r="E87" s="102"/>
      <c r="F87" s="106"/>
      <c r="G87" s="106"/>
      <c r="H87" s="106"/>
      <c r="I87" s="106"/>
      <c r="J87" s="102">
        <v>30</v>
      </c>
      <c r="K87" s="102">
        <v>30</v>
      </c>
      <c r="L87" s="105"/>
      <c r="M87" s="106"/>
      <c r="N87" s="101"/>
      <c r="O87" s="102"/>
      <c r="P87" s="102"/>
      <c r="Q87" s="102">
        <f t="shared" si="11"/>
        <v>0</v>
      </c>
      <c r="R87" s="102">
        <v>3800</v>
      </c>
      <c r="S87" s="106">
        <f t="shared" si="12"/>
        <v>0</v>
      </c>
      <c r="T87" s="102"/>
      <c r="U87" s="102"/>
      <c r="V87" s="102"/>
      <c r="W87" s="102">
        <v>30000</v>
      </c>
      <c r="X87" s="102">
        <f t="shared" si="5"/>
        <v>0</v>
      </c>
      <c r="Y87" s="101"/>
      <c r="Z87" s="102">
        <v>30000</v>
      </c>
      <c r="AA87" s="102">
        <f t="shared" si="13"/>
        <v>0</v>
      </c>
      <c r="AB87" s="102"/>
      <c r="AC87" s="102">
        <v>100000</v>
      </c>
      <c r="AD87" s="102">
        <f t="shared" si="21"/>
        <v>0</v>
      </c>
      <c r="AE87" s="102"/>
      <c r="AF87" s="102"/>
      <c r="AG87" s="102"/>
      <c r="AH87" s="102"/>
      <c r="AI87" s="102"/>
      <c r="AJ87" s="102"/>
      <c r="AK87" s="101"/>
      <c r="AL87" s="102"/>
      <c r="AM87" s="108">
        <f t="shared" si="20"/>
        <v>0</v>
      </c>
      <c r="AN87" s="102"/>
      <c r="AO87" s="102"/>
      <c r="AP87" s="102"/>
      <c r="AQ87" s="127">
        <f t="shared" si="16"/>
        <v>0</v>
      </c>
      <c r="AR87" s="128">
        <f t="shared" si="9"/>
        <v>0</v>
      </c>
      <c r="AS87" s="102"/>
      <c r="AT87" s="133"/>
      <c r="AU87" s="129" t="str">
        <f t="shared" si="10"/>
        <v>Trống</v>
      </c>
      <c r="AV87" s="130">
        <f t="shared" si="2"/>
        <v>0</v>
      </c>
      <c r="AW87" s="131"/>
      <c r="AX87" s="106"/>
      <c r="AY87" s="102"/>
      <c r="AZ87" s="102"/>
      <c r="BA87" s="102"/>
      <c r="BB87" s="102"/>
      <c r="BC87" s="102"/>
      <c r="BD87" s="102"/>
      <c r="BE87" s="102"/>
      <c r="BF87" s="102"/>
      <c r="BG87" s="102"/>
      <c r="BH87" s="106"/>
      <c r="BI87" s="102"/>
      <c r="BJ87" s="102"/>
      <c r="BK87" s="102"/>
      <c r="BL87" s="102"/>
      <c r="BM87" s="102"/>
      <c r="BN87" s="102"/>
      <c r="BO87" s="132"/>
      <c r="BP87" s="102"/>
      <c r="BQ87" s="132"/>
      <c r="BR87" s="102"/>
      <c r="BS87" s="102"/>
      <c r="BT87" s="102"/>
      <c r="BU87" s="102"/>
      <c r="BV87" s="102"/>
      <c r="BW87" s="102"/>
      <c r="BX87" s="102"/>
      <c r="BY87" s="102"/>
      <c r="BZ87" s="102"/>
      <c r="CA87" s="102"/>
      <c r="CB87" s="102"/>
      <c r="CC87" s="102"/>
    </row>
    <row r="88" spans="1:81" ht="18" customHeight="1">
      <c r="A88" s="124"/>
      <c r="B88" s="101"/>
      <c r="C88" s="102"/>
      <c r="D88" s="102"/>
      <c r="E88" s="102"/>
      <c r="F88" s="106"/>
      <c r="G88" s="106"/>
      <c r="H88" s="106"/>
      <c r="I88" s="106"/>
      <c r="J88" s="102">
        <v>30</v>
      </c>
      <c r="K88" s="102">
        <v>30</v>
      </c>
      <c r="L88" s="105"/>
      <c r="M88" s="106"/>
      <c r="N88" s="101"/>
      <c r="O88" s="102"/>
      <c r="P88" s="102"/>
      <c r="Q88" s="102">
        <f t="shared" si="11"/>
        <v>0</v>
      </c>
      <c r="R88" s="102">
        <v>3800</v>
      </c>
      <c r="S88" s="106">
        <f t="shared" si="12"/>
        <v>0</v>
      </c>
      <c r="T88" s="102"/>
      <c r="U88" s="102"/>
      <c r="V88" s="102"/>
      <c r="W88" s="102">
        <v>30000</v>
      </c>
      <c r="X88" s="102">
        <f t="shared" si="5"/>
        <v>0</v>
      </c>
      <c r="Y88" s="101"/>
      <c r="Z88" s="102">
        <v>30000</v>
      </c>
      <c r="AA88" s="102">
        <f t="shared" si="13"/>
        <v>0</v>
      </c>
      <c r="AB88" s="102"/>
      <c r="AC88" s="102">
        <v>100000</v>
      </c>
      <c r="AD88" s="102">
        <f t="shared" si="21"/>
        <v>0</v>
      </c>
      <c r="AE88" s="102"/>
      <c r="AF88" s="102"/>
      <c r="AG88" s="102"/>
      <c r="AH88" s="102"/>
      <c r="AI88" s="102"/>
      <c r="AJ88" s="102"/>
      <c r="AK88" s="101"/>
      <c r="AL88" s="102"/>
      <c r="AM88" s="108">
        <f t="shared" si="20"/>
        <v>0</v>
      </c>
      <c r="AN88" s="102"/>
      <c r="AO88" s="102"/>
      <c r="AP88" s="102"/>
      <c r="AQ88" s="127">
        <f t="shared" si="16"/>
        <v>0</v>
      </c>
      <c r="AR88" s="128">
        <f t="shared" si="9"/>
        <v>0</v>
      </c>
      <c r="AS88" s="102"/>
      <c r="AT88" s="133"/>
      <c r="AU88" s="129" t="str">
        <f t="shared" si="10"/>
        <v>Trống</v>
      </c>
      <c r="AV88" s="130">
        <f t="shared" si="2"/>
        <v>0</v>
      </c>
      <c r="AW88" s="131"/>
      <c r="AX88" s="106"/>
      <c r="AY88" s="102"/>
      <c r="AZ88" s="102"/>
      <c r="BA88" s="102"/>
      <c r="BB88" s="102"/>
      <c r="BC88" s="102"/>
      <c r="BD88" s="102"/>
      <c r="BE88" s="102"/>
      <c r="BF88" s="102"/>
      <c r="BG88" s="102"/>
      <c r="BH88" s="106"/>
      <c r="BI88" s="102"/>
      <c r="BJ88" s="102"/>
      <c r="BK88" s="102"/>
      <c r="BL88" s="102"/>
      <c r="BM88" s="102"/>
      <c r="BN88" s="102"/>
      <c r="BO88" s="102"/>
      <c r="BP88" s="102"/>
      <c r="BQ88" s="132"/>
      <c r="BR88" s="102"/>
      <c r="BS88" s="102"/>
      <c r="BT88" s="102"/>
      <c r="BU88" s="102"/>
      <c r="BV88" s="102"/>
      <c r="BW88" s="102"/>
      <c r="BX88" s="102"/>
      <c r="BY88" s="102"/>
      <c r="BZ88" s="102"/>
      <c r="CA88" s="102"/>
      <c r="CB88" s="102"/>
      <c r="CC88" s="102"/>
    </row>
    <row r="89" spans="1:81" ht="20.25" customHeight="1">
      <c r="A89" s="124"/>
      <c r="B89" s="101"/>
      <c r="C89" s="102"/>
      <c r="D89" s="102"/>
      <c r="E89" s="102"/>
      <c r="F89" s="106"/>
      <c r="G89" s="106"/>
      <c r="H89" s="106"/>
      <c r="I89" s="106"/>
      <c r="J89" s="102">
        <v>30</v>
      </c>
      <c r="K89" s="102">
        <v>30</v>
      </c>
      <c r="L89" s="105"/>
      <c r="M89" s="106"/>
      <c r="N89" s="101"/>
      <c r="O89" s="102"/>
      <c r="P89" s="102"/>
      <c r="Q89" s="102">
        <f t="shared" si="11"/>
        <v>0</v>
      </c>
      <c r="R89" s="102">
        <v>3800</v>
      </c>
      <c r="S89" s="106">
        <f t="shared" si="12"/>
        <v>0</v>
      </c>
      <c r="T89" s="102"/>
      <c r="U89" s="102"/>
      <c r="V89" s="102"/>
      <c r="W89" s="102">
        <v>30000</v>
      </c>
      <c r="X89" s="102">
        <f t="shared" si="5"/>
        <v>0</v>
      </c>
      <c r="Y89" s="101"/>
      <c r="Z89" s="102">
        <v>30000</v>
      </c>
      <c r="AA89" s="102">
        <f t="shared" si="13"/>
        <v>0</v>
      </c>
      <c r="AB89" s="102"/>
      <c r="AC89" s="102">
        <v>100000</v>
      </c>
      <c r="AD89" s="102">
        <f t="shared" si="21"/>
        <v>0</v>
      </c>
      <c r="AE89" s="102"/>
      <c r="AF89" s="102"/>
      <c r="AG89" s="102"/>
      <c r="AH89" s="102"/>
      <c r="AI89" s="102"/>
      <c r="AJ89" s="102"/>
      <c r="AK89" s="101"/>
      <c r="AL89" s="102"/>
      <c r="AM89" s="108">
        <f t="shared" si="20"/>
        <v>0</v>
      </c>
      <c r="AN89" s="102"/>
      <c r="AO89" s="102"/>
      <c r="AP89" s="102">
        <f>AN89*AO89</f>
        <v>0</v>
      </c>
      <c r="AQ89" s="127">
        <f t="shared" si="16"/>
        <v>0</v>
      </c>
      <c r="AR89" s="128">
        <f t="shared" si="9"/>
        <v>0</v>
      </c>
      <c r="AS89" s="102"/>
      <c r="AT89" s="133"/>
      <c r="AU89" s="129" t="str">
        <f t="shared" si="10"/>
        <v>Trống</v>
      </c>
      <c r="AV89" s="130">
        <f t="shared" si="2"/>
        <v>0</v>
      </c>
      <c r="AW89" s="131"/>
      <c r="AX89" s="106"/>
      <c r="AY89" s="102"/>
      <c r="AZ89" s="102"/>
      <c r="BA89" s="102"/>
      <c r="BB89" s="102"/>
      <c r="BC89" s="102"/>
      <c r="BD89" s="102"/>
      <c r="BE89" s="102"/>
      <c r="BF89" s="102"/>
      <c r="BG89" s="102"/>
      <c r="BH89" s="106"/>
      <c r="BI89" s="102"/>
      <c r="BJ89" s="102"/>
      <c r="BK89" s="102"/>
      <c r="BL89" s="102"/>
      <c r="BM89" s="102"/>
      <c r="BN89" s="102"/>
      <c r="BO89" s="132"/>
      <c r="BP89" s="102"/>
      <c r="BQ89" s="132"/>
      <c r="BR89" s="102"/>
      <c r="BS89" s="102"/>
      <c r="BT89" s="102"/>
      <c r="BU89" s="102"/>
      <c r="BV89" s="102"/>
      <c r="BW89" s="102"/>
      <c r="BX89" s="102"/>
      <c r="BY89" s="102"/>
      <c r="BZ89" s="102"/>
      <c r="CA89" s="102"/>
      <c r="CB89" s="102"/>
      <c r="CC89" s="102"/>
    </row>
    <row r="90" spans="1:81" ht="19.5" customHeight="1">
      <c r="A90" s="124"/>
      <c r="B90" s="101"/>
      <c r="C90" s="102"/>
      <c r="D90" s="102"/>
      <c r="E90" s="102"/>
      <c r="F90" s="106"/>
      <c r="G90" s="106"/>
      <c r="H90" s="106"/>
      <c r="I90" s="106"/>
      <c r="J90" s="102">
        <v>30</v>
      </c>
      <c r="K90" s="102">
        <v>30</v>
      </c>
      <c r="L90" s="105"/>
      <c r="M90" s="106"/>
      <c r="N90" s="101"/>
      <c r="O90" s="102"/>
      <c r="P90" s="102"/>
      <c r="Q90" s="102">
        <f t="shared" si="11"/>
        <v>0</v>
      </c>
      <c r="R90" s="102">
        <v>3800</v>
      </c>
      <c r="S90" s="106">
        <f t="shared" si="12"/>
        <v>0</v>
      </c>
      <c r="T90" s="102"/>
      <c r="U90" s="102"/>
      <c r="V90" s="102"/>
      <c r="W90" s="102">
        <v>30000</v>
      </c>
      <c r="X90" s="102">
        <f t="shared" si="5"/>
        <v>0</v>
      </c>
      <c r="Y90" s="101"/>
      <c r="Z90" s="102">
        <v>30000</v>
      </c>
      <c r="AA90" s="102">
        <f t="shared" si="13"/>
        <v>0</v>
      </c>
      <c r="AB90" s="102"/>
      <c r="AC90" s="102">
        <v>100000</v>
      </c>
      <c r="AD90" s="102">
        <f t="shared" si="21"/>
        <v>0</v>
      </c>
      <c r="AE90" s="102"/>
      <c r="AF90" s="102"/>
      <c r="AG90" s="102"/>
      <c r="AH90" s="102"/>
      <c r="AI90" s="102"/>
      <c r="AJ90" s="102"/>
      <c r="AK90" s="101"/>
      <c r="AL90" s="102"/>
      <c r="AM90" s="108">
        <f t="shared" si="20"/>
        <v>0</v>
      </c>
      <c r="AN90" s="102"/>
      <c r="AO90" s="102"/>
      <c r="AP90" s="102"/>
      <c r="AQ90" s="127">
        <f t="shared" si="16"/>
        <v>0</v>
      </c>
      <c r="AR90" s="128">
        <f t="shared" si="9"/>
        <v>0</v>
      </c>
      <c r="AS90" s="102"/>
      <c r="AT90" s="133"/>
      <c r="AU90" s="129" t="str">
        <f t="shared" si="10"/>
        <v>Trống</v>
      </c>
      <c r="AV90" s="130">
        <f t="shared" si="2"/>
        <v>0</v>
      </c>
      <c r="AW90" s="131"/>
      <c r="AX90" s="106"/>
      <c r="AY90" s="102"/>
      <c r="AZ90" s="102"/>
      <c r="BA90" s="102"/>
      <c r="BB90" s="102"/>
      <c r="BC90" s="102"/>
      <c r="BD90" s="102"/>
      <c r="BE90" s="102"/>
      <c r="BF90" s="102"/>
      <c r="BG90" s="102"/>
      <c r="BH90" s="106"/>
      <c r="BI90" s="102"/>
      <c r="BJ90" s="102"/>
      <c r="BK90" s="102"/>
      <c r="BL90" s="102"/>
      <c r="BM90" s="102"/>
      <c r="BN90" s="102"/>
      <c r="BO90" s="132"/>
      <c r="BP90" s="102"/>
      <c r="BQ90" s="132"/>
      <c r="BR90" s="102"/>
      <c r="BS90" s="102"/>
      <c r="BT90" s="102"/>
      <c r="BU90" s="102"/>
      <c r="BV90" s="102"/>
      <c r="BW90" s="102"/>
      <c r="BX90" s="102"/>
      <c r="BY90" s="102"/>
      <c r="BZ90" s="102"/>
      <c r="CA90" s="102"/>
      <c r="CB90" s="102"/>
      <c r="CC90" s="102"/>
    </row>
    <row r="91" spans="1:81" ht="21.75" customHeight="1">
      <c r="A91" s="124"/>
      <c r="B91" s="101"/>
      <c r="C91" s="102"/>
      <c r="D91" s="102"/>
      <c r="E91" s="102"/>
      <c r="F91" s="106"/>
      <c r="G91" s="106"/>
      <c r="H91" s="106"/>
      <c r="I91" s="106"/>
      <c r="J91" s="102">
        <v>30</v>
      </c>
      <c r="K91" s="102">
        <v>30</v>
      </c>
      <c r="L91" s="105"/>
      <c r="M91" s="106"/>
      <c r="N91" s="101"/>
      <c r="O91" s="102"/>
      <c r="P91" s="102"/>
      <c r="Q91" s="102">
        <f t="shared" si="11"/>
        <v>0</v>
      </c>
      <c r="R91" s="102">
        <v>3800</v>
      </c>
      <c r="S91" s="106">
        <f t="shared" si="12"/>
        <v>0</v>
      </c>
      <c r="T91" s="102"/>
      <c r="U91" s="102"/>
      <c r="V91" s="102"/>
      <c r="W91" s="102">
        <v>30000</v>
      </c>
      <c r="X91" s="102">
        <f t="shared" si="5"/>
        <v>0</v>
      </c>
      <c r="Y91" s="101"/>
      <c r="Z91" s="102">
        <v>30000</v>
      </c>
      <c r="AA91" s="102">
        <f t="shared" si="13"/>
        <v>0</v>
      </c>
      <c r="AB91" s="102"/>
      <c r="AC91" s="102">
        <v>100000</v>
      </c>
      <c r="AD91" s="102">
        <f t="shared" si="21"/>
        <v>0</v>
      </c>
      <c r="AE91" s="102"/>
      <c r="AF91" s="102"/>
      <c r="AG91" s="102"/>
      <c r="AH91" s="102"/>
      <c r="AI91" s="102"/>
      <c r="AJ91" s="102"/>
      <c r="AK91" s="102"/>
      <c r="AL91" s="102"/>
      <c r="AM91" s="108">
        <f t="shared" si="20"/>
        <v>0</v>
      </c>
      <c r="AN91" s="102"/>
      <c r="AO91" s="102"/>
      <c r="AP91" s="102"/>
      <c r="AQ91" s="127">
        <f t="shared" si="16"/>
        <v>0</v>
      </c>
      <c r="AR91" s="128">
        <f t="shared" si="9"/>
        <v>0</v>
      </c>
      <c r="AS91" s="102"/>
      <c r="AT91" s="133"/>
      <c r="AU91" s="129" t="str">
        <f t="shared" si="10"/>
        <v>Trống</v>
      </c>
      <c r="AV91" s="130">
        <f t="shared" si="2"/>
        <v>0</v>
      </c>
      <c r="AW91" s="131"/>
      <c r="AX91" s="106"/>
      <c r="AY91" s="102"/>
      <c r="AZ91" s="102"/>
      <c r="BA91" s="102"/>
      <c r="BB91" s="102"/>
      <c r="BC91" s="102"/>
      <c r="BD91" s="102"/>
      <c r="BE91" s="102"/>
      <c r="BF91" s="102"/>
      <c r="BG91" s="102"/>
      <c r="BH91" s="106"/>
      <c r="BI91" s="102"/>
      <c r="BJ91" s="102"/>
      <c r="BK91" s="102"/>
      <c r="BL91" s="102"/>
      <c r="BM91" s="102"/>
      <c r="BN91" s="102"/>
      <c r="BO91" s="132"/>
      <c r="BP91" s="102"/>
      <c r="BQ91" s="132"/>
      <c r="BR91" s="102"/>
      <c r="BS91" s="102"/>
      <c r="BT91" s="102"/>
      <c r="BU91" s="102"/>
      <c r="BV91" s="102"/>
      <c r="BW91" s="102"/>
      <c r="BX91" s="102"/>
      <c r="BY91" s="102"/>
      <c r="BZ91" s="102"/>
      <c r="CA91" s="102"/>
      <c r="CB91" s="102"/>
      <c r="CC91" s="102"/>
    </row>
    <row r="92" spans="1:81" ht="21" customHeight="1">
      <c r="A92" s="124"/>
      <c r="B92" s="101"/>
      <c r="C92" s="102"/>
      <c r="D92" s="102"/>
      <c r="E92" s="102"/>
      <c r="F92" s="106"/>
      <c r="G92" s="106"/>
      <c r="H92" s="106"/>
      <c r="I92" s="106"/>
      <c r="J92" s="102">
        <v>30</v>
      </c>
      <c r="K92" s="102">
        <v>30</v>
      </c>
      <c r="L92" s="105"/>
      <c r="M92" s="106"/>
      <c r="N92" s="101"/>
      <c r="O92" s="102"/>
      <c r="P92" s="102"/>
      <c r="Q92" s="102">
        <f t="shared" si="11"/>
        <v>0</v>
      </c>
      <c r="R92" s="102">
        <v>3800</v>
      </c>
      <c r="S92" s="106">
        <f t="shared" si="12"/>
        <v>0</v>
      </c>
      <c r="T92" s="102"/>
      <c r="U92" s="102"/>
      <c r="V92" s="102"/>
      <c r="W92" s="102">
        <v>30000</v>
      </c>
      <c r="X92" s="102">
        <f t="shared" si="5"/>
        <v>0</v>
      </c>
      <c r="Y92" s="101"/>
      <c r="Z92" s="102">
        <v>30000</v>
      </c>
      <c r="AA92" s="102">
        <f t="shared" si="13"/>
        <v>0</v>
      </c>
      <c r="AB92" s="102"/>
      <c r="AC92" s="102">
        <v>100000</v>
      </c>
      <c r="AD92" s="102">
        <f t="shared" si="21"/>
        <v>0</v>
      </c>
      <c r="AE92" s="102"/>
      <c r="AF92" s="102"/>
      <c r="AG92" s="102"/>
      <c r="AH92" s="102"/>
      <c r="AI92" s="102"/>
      <c r="AJ92" s="102"/>
      <c r="AK92" s="102"/>
      <c r="AL92" s="102"/>
      <c r="AM92" s="108">
        <f t="shared" si="20"/>
        <v>0</v>
      </c>
      <c r="AN92" s="102"/>
      <c r="AO92" s="102"/>
      <c r="AP92" s="102"/>
      <c r="AQ92" s="127">
        <f t="shared" si="16"/>
        <v>0</v>
      </c>
      <c r="AR92" s="128">
        <f t="shared" si="9"/>
        <v>0</v>
      </c>
      <c r="AS92" s="102"/>
      <c r="AT92" s="133"/>
      <c r="AU92" s="129" t="str">
        <f t="shared" si="10"/>
        <v>Trống</v>
      </c>
      <c r="AV92" s="130">
        <f t="shared" si="2"/>
        <v>0</v>
      </c>
      <c r="AW92" s="131"/>
      <c r="AX92" s="106"/>
      <c r="AY92" s="102"/>
      <c r="AZ92" s="102"/>
      <c r="BA92" s="102"/>
      <c r="BB92" s="102"/>
      <c r="BC92" s="102"/>
      <c r="BD92" s="102"/>
      <c r="BE92" s="102"/>
      <c r="BF92" s="102"/>
      <c r="BG92" s="102"/>
      <c r="BH92" s="106"/>
      <c r="BI92" s="102"/>
      <c r="BJ92" s="102"/>
      <c r="BK92" s="102"/>
      <c r="BL92" s="102"/>
      <c r="BM92" s="102"/>
      <c r="BN92" s="102"/>
      <c r="BO92" s="132">
        <v>1500000</v>
      </c>
      <c r="BP92" s="102"/>
      <c r="BQ92" s="132">
        <v>4680000</v>
      </c>
      <c r="BR92" s="102"/>
      <c r="BS92" s="102" t="s">
        <v>161</v>
      </c>
      <c r="BT92" s="102"/>
      <c r="BU92" s="102"/>
      <c r="BV92" s="102"/>
      <c r="BW92" s="102"/>
      <c r="BX92" s="102"/>
      <c r="BY92" s="102"/>
      <c r="BZ92" s="102"/>
      <c r="CA92" s="102"/>
      <c r="CB92" s="102"/>
      <c r="CC92" s="102"/>
    </row>
    <row r="93" spans="1:81" ht="21" customHeight="1">
      <c r="A93" s="124"/>
      <c r="B93" s="101"/>
      <c r="C93" s="102"/>
      <c r="D93" s="102"/>
      <c r="E93" s="102"/>
      <c r="F93" s="106"/>
      <c r="G93" s="106"/>
      <c r="H93" s="106"/>
      <c r="I93" s="106"/>
      <c r="J93" s="102">
        <v>30</v>
      </c>
      <c r="K93" s="102">
        <v>30</v>
      </c>
      <c r="L93" s="105"/>
      <c r="M93" s="106"/>
      <c r="N93" s="101"/>
      <c r="O93" s="102"/>
      <c r="P93" s="102"/>
      <c r="Q93" s="102">
        <f t="shared" si="11"/>
        <v>0</v>
      </c>
      <c r="R93" s="102">
        <v>3800</v>
      </c>
      <c r="S93" s="106">
        <f t="shared" si="12"/>
        <v>0</v>
      </c>
      <c r="T93" s="102"/>
      <c r="U93" s="102"/>
      <c r="V93" s="102"/>
      <c r="W93" s="102">
        <v>30000</v>
      </c>
      <c r="X93" s="102">
        <f t="shared" si="5"/>
        <v>0</v>
      </c>
      <c r="Y93" s="102"/>
      <c r="Z93" s="102">
        <v>30000</v>
      </c>
      <c r="AA93" s="102">
        <f t="shared" si="13"/>
        <v>0</v>
      </c>
      <c r="AB93" s="102"/>
      <c r="AC93" s="102">
        <v>100000</v>
      </c>
      <c r="AD93" s="102">
        <f t="shared" si="21"/>
        <v>0</v>
      </c>
      <c r="AE93" s="102"/>
      <c r="AF93" s="102"/>
      <c r="AG93" s="102"/>
      <c r="AH93" s="102"/>
      <c r="AI93" s="102"/>
      <c r="AJ93" s="102"/>
      <c r="AK93" s="102"/>
      <c r="AL93" s="102"/>
      <c r="AM93" s="108">
        <f t="shared" si="20"/>
        <v>0</v>
      </c>
      <c r="AN93" s="102"/>
      <c r="AO93" s="102"/>
      <c r="AP93" s="102">
        <f>AN93*AO93</f>
        <v>0</v>
      </c>
      <c r="AQ93" s="127">
        <f t="shared" si="16"/>
        <v>0</v>
      </c>
      <c r="AR93" s="128">
        <f t="shared" si="9"/>
        <v>0</v>
      </c>
      <c r="AS93" s="102"/>
      <c r="AT93" s="133"/>
      <c r="AU93" s="129" t="str">
        <f t="shared" si="10"/>
        <v>Trống</v>
      </c>
      <c r="AV93" s="130">
        <f t="shared" si="2"/>
        <v>0</v>
      </c>
      <c r="AW93" s="131"/>
      <c r="AX93" s="106"/>
      <c r="AY93" s="102"/>
      <c r="AZ93" s="102"/>
      <c r="BA93" s="102"/>
      <c r="BB93" s="102"/>
      <c r="BC93" s="102"/>
      <c r="BD93" s="102"/>
      <c r="BE93" s="102"/>
      <c r="BF93" s="102"/>
      <c r="BG93" s="102"/>
      <c r="BH93" s="106"/>
      <c r="BI93" s="102"/>
      <c r="BJ93" s="102"/>
      <c r="BK93" s="102"/>
      <c r="BL93" s="102"/>
      <c r="BM93" s="102"/>
      <c r="BN93" s="102"/>
      <c r="BO93" s="132"/>
      <c r="BP93" s="102"/>
      <c r="BQ93" s="132"/>
      <c r="BR93" s="102"/>
      <c r="BS93" s="102"/>
      <c r="BT93" s="102"/>
      <c r="BU93" s="102"/>
      <c r="BV93" s="102"/>
      <c r="BW93" s="102"/>
      <c r="BX93" s="102"/>
      <c r="BY93" s="102"/>
      <c r="BZ93" s="102"/>
      <c r="CA93" s="102"/>
      <c r="CB93" s="102"/>
      <c r="CC93" s="102"/>
    </row>
    <row r="94" spans="1:81" ht="18" customHeight="1">
      <c r="A94" s="124"/>
      <c r="B94" s="101"/>
      <c r="C94" s="102"/>
      <c r="D94" s="102"/>
      <c r="E94" s="102"/>
      <c r="F94" s="106"/>
      <c r="G94" s="106"/>
      <c r="H94" s="106"/>
      <c r="I94" s="106"/>
      <c r="J94" s="102">
        <v>30</v>
      </c>
      <c r="K94" s="102">
        <v>30</v>
      </c>
      <c r="L94" s="105"/>
      <c r="M94" s="106"/>
      <c r="N94" s="101"/>
      <c r="O94" s="102"/>
      <c r="P94" s="102"/>
      <c r="Q94" s="102">
        <f t="shared" si="11"/>
        <v>0</v>
      </c>
      <c r="R94" s="102">
        <v>3800</v>
      </c>
      <c r="S94" s="106">
        <f t="shared" si="12"/>
        <v>0</v>
      </c>
      <c r="T94" s="102"/>
      <c r="U94" s="102"/>
      <c r="V94" s="102"/>
      <c r="W94" s="102">
        <v>80000</v>
      </c>
      <c r="X94" s="102">
        <f t="shared" si="5"/>
        <v>0</v>
      </c>
      <c r="Y94" s="102"/>
      <c r="Z94" s="102">
        <v>50000</v>
      </c>
      <c r="AA94" s="102">
        <f t="shared" si="13"/>
        <v>0</v>
      </c>
      <c r="AB94" s="102"/>
      <c r="AC94" s="102">
        <v>100000</v>
      </c>
      <c r="AD94" s="102">
        <f t="shared" si="21"/>
        <v>0</v>
      </c>
      <c r="AE94" s="102"/>
      <c r="AF94" s="102">
        <v>50000</v>
      </c>
      <c r="AG94" s="102"/>
      <c r="AH94" s="102"/>
      <c r="AI94" s="102"/>
      <c r="AJ94" s="102"/>
      <c r="AK94" s="101"/>
      <c r="AL94" s="102"/>
      <c r="AM94" s="108">
        <f t="shared" si="20"/>
        <v>0</v>
      </c>
      <c r="AN94" s="102"/>
      <c r="AO94" s="102"/>
      <c r="AP94" s="102"/>
      <c r="AQ94" s="127">
        <f t="shared" si="16"/>
        <v>0</v>
      </c>
      <c r="AR94" s="128">
        <f t="shared" si="9"/>
        <v>0</v>
      </c>
      <c r="AS94" s="102"/>
      <c r="AT94" s="133"/>
      <c r="AU94" s="129" t="str">
        <f t="shared" si="10"/>
        <v>Trống</v>
      </c>
      <c r="AV94" s="130">
        <f t="shared" si="2"/>
        <v>0</v>
      </c>
      <c r="AW94" s="131"/>
      <c r="AX94" s="106"/>
      <c r="AY94" s="102"/>
      <c r="AZ94" s="102"/>
      <c r="BA94" s="102"/>
      <c r="BB94" s="102"/>
      <c r="BC94" s="102"/>
      <c r="BD94" s="102"/>
      <c r="BE94" s="102"/>
      <c r="BF94" s="102"/>
      <c r="BG94" s="102"/>
      <c r="BH94" s="106"/>
      <c r="BI94" s="102"/>
      <c r="BJ94" s="102"/>
      <c r="BK94" s="102"/>
      <c r="BL94" s="102"/>
      <c r="BM94" s="102"/>
      <c r="BN94" s="102"/>
      <c r="BO94" s="132"/>
      <c r="BP94" s="102"/>
      <c r="BQ94" s="132"/>
      <c r="BR94" s="102"/>
      <c r="BS94" s="102"/>
      <c r="BT94" s="102"/>
      <c r="BU94" s="102"/>
      <c r="BV94" s="102"/>
      <c r="BW94" s="102"/>
      <c r="BX94" s="102"/>
      <c r="BY94" s="102"/>
      <c r="BZ94" s="102"/>
      <c r="CA94" s="102"/>
      <c r="CB94" s="102"/>
      <c r="CC94" s="102"/>
    </row>
    <row r="95" spans="1:81" ht="16.5" customHeight="1">
      <c r="A95" s="124"/>
      <c r="B95" s="101"/>
      <c r="C95" s="102"/>
      <c r="D95" s="102"/>
      <c r="E95" s="102"/>
      <c r="F95" s="106"/>
      <c r="G95" s="106"/>
      <c r="H95" s="106"/>
      <c r="I95" s="106"/>
      <c r="J95" s="102">
        <v>30</v>
      </c>
      <c r="K95" s="102">
        <v>30</v>
      </c>
      <c r="L95" s="105"/>
      <c r="M95" s="106"/>
      <c r="N95" s="101"/>
      <c r="O95" s="102"/>
      <c r="P95" s="102"/>
      <c r="Q95" s="102">
        <f t="shared" si="11"/>
        <v>0</v>
      </c>
      <c r="R95" s="102">
        <v>3800</v>
      </c>
      <c r="S95" s="106">
        <f t="shared" si="12"/>
        <v>0</v>
      </c>
      <c r="T95" s="102"/>
      <c r="U95" s="102"/>
      <c r="V95" s="102"/>
      <c r="W95" s="102">
        <v>100000</v>
      </c>
      <c r="X95" s="102">
        <f t="shared" si="5"/>
        <v>0</v>
      </c>
      <c r="Y95" s="102"/>
      <c r="Z95" s="102">
        <v>30000</v>
      </c>
      <c r="AA95" s="102">
        <f t="shared" si="13"/>
        <v>0</v>
      </c>
      <c r="AB95" s="102"/>
      <c r="AC95" s="102">
        <v>100000</v>
      </c>
      <c r="AD95" s="102">
        <f t="shared" si="21"/>
        <v>0</v>
      </c>
      <c r="AE95" s="102"/>
      <c r="AF95" s="102"/>
      <c r="AG95" s="102"/>
      <c r="AH95" s="102"/>
      <c r="AI95" s="102"/>
      <c r="AJ95" s="102"/>
      <c r="AK95" s="101"/>
      <c r="AL95" s="102"/>
      <c r="AM95" s="108">
        <f t="shared" si="20"/>
        <v>0</v>
      </c>
      <c r="AN95" s="102"/>
      <c r="AO95" s="102"/>
      <c r="AP95" s="102"/>
      <c r="AQ95" s="127">
        <f t="shared" si="16"/>
        <v>0</v>
      </c>
      <c r="AR95" s="128">
        <f t="shared" si="9"/>
        <v>0</v>
      </c>
      <c r="AS95" s="102"/>
      <c r="AT95" s="133"/>
      <c r="AU95" s="129" t="str">
        <f t="shared" si="10"/>
        <v>Trống</v>
      </c>
      <c r="AV95" s="130">
        <f t="shared" si="2"/>
        <v>0</v>
      </c>
      <c r="AW95" s="131"/>
      <c r="AX95" s="106"/>
      <c r="AY95" s="102"/>
      <c r="AZ95" s="102"/>
      <c r="BA95" s="102"/>
      <c r="BB95" s="102"/>
      <c r="BC95" s="102"/>
      <c r="BD95" s="102"/>
      <c r="BE95" s="102"/>
      <c r="BF95" s="102"/>
      <c r="BG95" s="102"/>
      <c r="BH95" s="106"/>
      <c r="BI95" s="102"/>
      <c r="BJ95" s="102"/>
      <c r="BK95" s="102"/>
      <c r="BL95" s="102"/>
      <c r="BM95" s="102"/>
      <c r="BN95" s="102"/>
      <c r="BO95" s="102"/>
      <c r="BP95" s="102"/>
      <c r="BQ95" s="132"/>
      <c r="BR95" s="102"/>
      <c r="BS95" s="102"/>
      <c r="BT95" s="102"/>
      <c r="BU95" s="102"/>
      <c r="BV95" s="102"/>
      <c r="BW95" s="102"/>
      <c r="BX95" s="102"/>
      <c r="BY95" s="102"/>
      <c r="BZ95" s="102"/>
      <c r="CA95" s="102"/>
      <c r="CB95" s="102"/>
      <c r="CC95" s="102"/>
    </row>
    <row r="96" spans="1:81" ht="21" customHeight="1">
      <c r="A96" s="124"/>
      <c r="B96" s="101"/>
      <c r="C96" s="102"/>
      <c r="D96" s="102"/>
      <c r="E96" s="102"/>
      <c r="F96" s="106"/>
      <c r="G96" s="106"/>
      <c r="H96" s="106"/>
      <c r="I96" s="106"/>
      <c r="J96" s="102">
        <v>30</v>
      </c>
      <c r="K96" s="102">
        <v>30</v>
      </c>
      <c r="L96" s="105"/>
      <c r="M96" s="106"/>
      <c r="N96" s="101"/>
      <c r="O96" s="102"/>
      <c r="P96" s="102"/>
      <c r="Q96" s="102">
        <f t="shared" si="11"/>
        <v>0</v>
      </c>
      <c r="R96" s="102">
        <v>3800</v>
      </c>
      <c r="S96" s="106">
        <f t="shared" si="12"/>
        <v>0</v>
      </c>
      <c r="T96" s="102"/>
      <c r="U96" s="102"/>
      <c r="V96" s="102"/>
      <c r="W96" s="102">
        <v>100000</v>
      </c>
      <c r="X96" s="102">
        <f t="shared" si="5"/>
        <v>0</v>
      </c>
      <c r="Y96" s="102"/>
      <c r="Z96" s="102">
        <v>30000</v>
      </c>
      <c r="AA96" s="102">
        <f t="shared" si="13"/>
        <v>0</v>
      </c>
      <c r="AB96" s="102"/>
      <c r="AC96" s="102">
        <v>100000</v>
      </c>
      <c r="AD96" s="102">
        <f t="shared" si="21"/>
        <v>0</v>
      </c>
      <c r="AE96" s="102"/>
      <c r="AF96" s="102"/>
      <c r="AG96" s="102"/>
      <c r="AH96" s="102"/>
      <c r="AI96" s="102"/>
      <c r="AJ96" s="102"/>
      <c r="AK96" s="101"/>
      <c r="AL96" s="102"/>
      <c r="AM96" s="108">
        <f t="shared" si="20"/>
        <v>0</v>
      </c>
      <c r="AN96" s="102"/>
      <c r="AO96" s="102"/>
      <c r="AP96" s="102"/>
      <c r="AQ96" s="127">
        <f t="shared" si="16"/>
        <v>0</v>
      </c>
      <c r="AR96" s="128">
        <f t="shared" si="9"/>
        <v>0</v>
      </c>
      <c r="AS96" s="102"/>
      <c r="AT96" s="133"/>
      <c r="AU96" s="129" t="str">
        <f t="shared" si="10"/>
        <v>Trống</v>
      </c>
      <c r="AV96" s="130">
        <f t="shared" si="2"/>
        <v>0</v>
      </c>
      <c r="AW96" s="131"/>
      <c r="AX96" s="106"/>
      <c r="AY96" s="102"/>
      <c r="AZ96" s="102"/>
      <c r="BA96" s="102"/>
      <c r="BB96" s="102"/>
      <c r="BC96" s="102"/>
      <c r="BD96" s="102"/>
      <c r="BE96" s="102"/>
      <c r="BF96" s="102"/>
      <c r="BG96" s="102"/>
      <c r="BH96" s="106"/>
      <c r="BI96" s="102"/>
      <c r="BJ96" s="102"/>
      <c r="BK96" s="102"/>
      <c r="BL96" s="102"/>
      <c r="BM96" s="102"/>
      <c r="BN96" s="102"/>
      <c r="BO96" s="132"/>
      <c r="BP96" s="102"/>
      <c r="BQ96" s="132"/>
      <c r="BR96" s="102"/>
      <c r="BS96" s="102"/>
      <c r="BT96" s="102"/>
      <c r="BU96" s="102"/>
      <c r="BV96" s="102"/>
      <c r="BW96" s="102"/>
      <c r="BX96" s="102"/>
      <c r="BY96" s="102"/>
      <c r="BZ96" s="102"/>
      <c r="CA96" s="102"/>
      <c r="CB96" s="102"/>
      <c r="CC96" s="102"/>
    </row>
    <row r="97" spans="1:81" ht="22.5" customHeight="1">
      <c r="A97" s="124"/>
      <c r="B97" s="101"/>
      <c r="C97" s="102"/>
      <c r="D97" s="102"/>
      <c r="E97" s="102"/>
      <c r="F97" s="106"/>
      <c r="G97" s="106"/>
      <c r="H97" s="106"/>
      <c r="I97" s="106"/>
      <c r="J97" s="102">
        <v>30</v>
      </c>
      <c r="K97" s="102">
        <v>30</v>
      </c>
      <c r="L97" s="105"/>
      <c r="M97" s="106"/>
      <c r="N97" s="101"/>
      <c r="O97" s="102"/>
      <c r="P97" s="102"/>
      <c r="Q97" s="102">
        <f t="shared" si="11"/>
        <v>0</v>
      </c>
      <c r="R97" s="102">
        <v>3500</v>
      </c>
      <c r="S97" s="106">
        <f t="shared" si="12"/>
        <v>0</v>
      </c>
      <c r="T97" s="102"/>
      <c r="U97" s="102"/>
      <c r="V97" s="102"/>
      <c r="W97" s="102">
        <v>100000</v>
      </c>
      <c r="X97" s="102">
        <f t="shared" si="5"/>
        <v>0</v>
      </c>
      <c r="Y97" s="102"/>
      <c r="Z97" s="102">
        <v>30000</v>
      </c>
      <c r="AA97" s="102">
        <f t="shared" si="13"/>
        <v>0</v>
      </c>
      <c r="AB97" s="102"/>
      <c r="AC97" s="102">
        <v>100000</v>
      </c>
      <c r="AD97" s="102">
        <f t="shared" si="21"/>
        <v>0</v>
      </c>
      <c r="AE97" s="102"/>
      <c r="AF97" s="102"/>
      <c r="AG97" s="102"/>
      <c r="AH97" s="102"/>
      <c r="AI97" s="102"/>
      <c r="AJ97" s="102"/>
      <c r="AK97" s="101"/>
      <c r="AL97" s="102"/>
      <c r="AM97" s="108">
        <f t="shared" si="20"/>
        <v>0</v>
      </c>
      <c r="AN97" s="102"/>
      <c r="AO97" s="102"/>
      <c r="AP97" s="102"/>
      <c r="AQ97" s="127">
        <f t="shared" si="16"/>
        <v>0</v>
      </c>
      <c r="AR97" s="128">
        <f t="shared" si="9"/>
        <v>0</v>
      </c>
      <c r="AS97" s="102"/>
      <c r="AT97" s="133"/>
      <c r="AU97" s="129" t="str">
        <f t="shared" si="10"/>
        <v>Trống</v>
      </c>
      <c r="AV97" s="130">
        <f t="shared" si="2"/>
        <v>0</v>
      </c>
      <c r="AW97" s="131"/>
      <c r="AX97" s="106"/>
      <c r="AY97" s="102"/>
      <c r="AZ97" s="102"/>
      <c r="BA97" s="102"/>
      <c r="BB97" s="102"/>
      <c r="BC97" s="102"/>
      <c r="BD97" s="102"/>
      <c r="BE97" s="102"/>
      <c r="BF97" s="102"/>
      <c r="BG97" s="102"/>
      <c r="BH97" s="106"/>
      <c r="BI97" s="102"/>
      <c r="BJ97" s="102"/>
      <c r="BK97" s="102"/>
      <c r="BL97" s="102"/>
      <c r="BM97" s="102"/>
      <c r="BN97" s="102"/>
      <c r="BO97" s="132"/>
      <c r="BP97" s="102"/>
      <c r="BQ97" s="132"/>
      <c r="BR97" s="102"/>
      <c r="BS97" s="102"/>
      <c r="BT97" s="102"/>
      <c r="BU97" s="102"/>
      <c r="BV97" s="102"/>
      <c r="BW97" s="102"/>
      <c r="BX97" s="102"/>
      <c r="BY97" s="102"/>
      <c r="BZ97" s="102"/>
      <c r="CA97" s="102"/>
      <c r="CB97" s="102"/>
      <c r="CC97" s="102"/>
    </row>
    <row r="98" spans="1:81" ht="18.75" customHeight="1">
      <c r="A98" s="124"/>
      <c r="B98" s="101"/>
      <c r="C98" s="102"/>
      <c r="D98" s="102"/>
      <c r="E98" s="102"/>
      <c r="F98" s="106"/>
      <c r="G98" s="106"/>
      <c r="H98" s="106"/>
      <c r="I98" s="106"/>
      <c r="J98" s="102">
        <v>30</v>
      </c>
      <c r="K98" s="102">
        <v>30</v>
      </c>
      <c r="L98" s="105"/>
      <c r="M98" s="106"/>
      <c r="N98" s="101"/>
      <c r="O98" s="102"/>
      <c r="P98" s="102"/>
      <c r="Q98" s="102">
        <f t="shared" si="11"/>
        <v>0</v>
      </c>
      <c r="R98" s="102">
        <v>3500</v>
      </c>
      <c r="S98" s="106">
        <f t="shared" si="12"/>
        <v>0</v>
      </c>
      <c r="T98" s="102"/>
      <c r="U98" s="102"/>
      <c r="V98" s="102"/>
      <c r="W98" s="102">
        <v>100000</v>
      </c>
      <c r="X98" s="102">
        <f t="shared" si="5"/>
        <v>0</v>
      </c>
      <c r="Y98" s="102"/>
      <c r="Z98" s="102">
        <v>30000</v>
      </c>
      <c r="AA98" s="102">
        <f t="shared" si="13"/>
        <v>0</v>
      </c>
      <c r="AB98" s="102"/>
      <c r="AC98" s="102">
        <v>100000</v>
      </c>
      <c r="AD98" s="102">
        <f t="shared" si="21"/>
        <v>0</v>
      </c>
      <c r="AE98" s="102"/>
      <c r="AF98" s="102">
        <v>50000</v>
      </c>
      <c r="AG98" s="102"/>
      <c r="AH98" s="102"/>
      <c r="AI98" s="102"/>
      <c r="AJ98" s="102"/>
      <c r="AK98" s="101"/>
      <c r="AL98" s="102"/>
      <c r="AM98" s="108">
        <f t="shared" si="20"/>
        <v>0</v>
      </c>
      <c r="AN98" s="102"/>
      <c r="AO98" s="102"/>
      <c r="AP98" s="102"/>
      <c r="AQ98" s="127">
        <f t="shared" si="16"/>
        <v>0</v>
      </c>
      <c r="AR98" s="128">
        <f t="shared" si="9"/>
        <v>0</v>
      </c>
      <c r="AS98" s="102"/>
      <c r="AT98" s="133"/>
      <c r="AU98" s="129" t="str">
        <f t="shared" si="10"/>
        <v>Trống</v>
      </c>
      <c r="AV98" s="130">
        <f t="shared" si="2"/>
        <v>0</v>
      </c>
      <c r="AW98" s="131"/>
      <c r="AX98" s="106"/>
      <c r="AY98" s="102"/>
      <c r="AZ98" s="102"/>
      <c r="BA98" s="102"/>
      <c r="BB98" s="102"/>
      <c r="BC98" s="102"/>
      <c r="BD98" s="102"/>
      <c r="BE98" s="102"/>
      <c r="BF98" s="102"/>
      <c r="BG98" s="102"/>
      <c r="BH98" s="106"/>
      <c r="BI98" s="102"/>
      <c r="BJ98" s="102"/>
      <c r="BK98" s="102"/>
      <c r="BL98" s="102"/>
      <c r="BM98" s="102"/>
      <c r="BN98" s="102"/>
      <c r="BO98" s="132"/>
      <c r="BP98" s="102"/>
      <c r="BQ98" s="132"/>
      <c r="BR98" s="102"/>
      <c r="BS98" s="102"/>
      <c r="BT98" s="102"/>
      <c r="BU98" s="102"/>
      <c r="BV98" s="102"/>
      <c r="BW98" s="102"/>
      <c r="BX98" s="102"/>
      <c r="BY98" s="102"/>
      <c r="BZ98" s="102"/>
      <c r="CA98" s="102"/>
      <c r="CB98" s="102"/>
      <c r="CC98" s="102"/>
    </row>
    <row r="99" spans="1:81" ht="15.75" customHeight="1">
      <c r="A99" s="124"/>
      <c r="B99" s="101"/>
      <c r="C99" s="102"/>
      <c r="D99" s="102"/>
      <c r="E99" s="102"/>
      <c r="F99" s="106"/>
      <c r="G99" s="106"/>
      <c r="H99" s="106"/>
      <c r="I99" s="106"/>
      <c r="J99" s="102">
        <v>30</v>
      </c>
      <c r="K99" s="102">
        <v>30</v>
      </c>
      <c r="L99" s="105"/>
      <c r="M99" s="106"/>
      <c r="N99" s="101"/>
      <c r="O99" s="102"/>
      <c r="P99" s="102"/>
      <c r="Q99" s="102">
        <f t="shared" si="11"/>
        <v>0</v>
      </c>
      <c r="R99" s="102">
        <v>3800</v>
      </c>
      <c r="S99" s="106">
        <f t="shared" si="12"/>
        <v>0</v>
      </c>
      <c r="T99" s="102"/>
      <c r="U99" s="102"/>
      <c r="V99" s="102"/>
      <c r="W99" s="102">
        <v>100000</v>
      </c>
      <c r="X99" s="102">
        <f t="shared" si="5"/>
        <v>0</v>
      </c>
      <c r="Y99" s="102"/>
      <c r="Z99" s="102">
        <v>30000</v>
      </c>
      <c r="AA99" s="102">
        <f t="shared" si="13"/>
        <v>0</v>
      </c>
      <c r="AB99" s="102"/>
      <c r="AC99" s="102">
        <v>100000</v>
      </c>
      <c r="AD99" s="102">
        <f t="shared" si="21"/>
        <v>0</v>
      </c>
      <c r="AE99" s="102"/>
      <c r="AF99" s="102"/>
      <c r="AG99" s="102"/>
      <c r="AH99" s="102"/>
      <c r="AI99" s="102"/>
      <c r="AJ99" s="102"/>
      <c r="AK99" s="101"/>
      <c r="AL99" s="102"/>
      <c r="AM99" s="108">
        <f t="shared" si="20"/>
        <v>0</v>
      </c>
      <c r="AN99" s="102"/>
      <c r="AO99" s="102"/>
      <c r="AP99" s="102"/>
      <c r="AQ99" s="127">
        <f t="shared" si="16"/>
        <v>0</v>
      </c>
      <c r="AR99" s="128">
        <f t="shared" si="9"/>
        <v>0</v>
      </c>
      <c r="AS99" s="102"/>
      <c r="AT99" s="133"/>
      <c r="AU99" s="129" t="str">
        <f t="shared" si="10"/>
        <v>Trống</v>
      </c>
      <c r="AV99" s="130">
        <f t="shared" si="2"/>
        <v>0</v>
      </c>
      <c r="AW99" s="131"/>
      <c r="AX99" s="106"/>
      <c r="AY99" s="102"/>
      <c r="AZ99" s="102"/>
      <c r="BA99" s="102"/>
      <c r="BB99" s="102"/>
      <c r="BC99" s="102"/>
      <c r="BD99" s="102"/>
      <c r="BE99" s="102"/>
      <c r="BF99" s="102"/>
      <c r="BG99" s="102"/>
      <c r="BH99" s="106"/>
      <c r="BI99" s="102"/>
      <c r="BJ99" s="102"/>
      <c r="BK99" s="102"/>
      <c r="BL99" s="102"/>
      <c r="BM99" s="102"/>
      <c r="BN99" s="102"/>
      <c r="BO99" s="132"/>
      <c r="BP99" s="102"/>
      <c r="BQ99" s="132"/>
      <c r="BR99" s="102"/>
      <c r="BS99" s="102"/>
      <c r="BT99" s="102"/>
      <c r="BU99" s="102"/>
      <c r="BV99" s="102"/>
      <c r="BW99" s="102"/>
      <c r="BX99" s="102"/>
      <c r="BY99" s="102"/>
      <c r="BZ99" s="102"/>
      <c r="CA99" s="102"/>
      <c r="CB99" s="102"/>
      <c r="CC99" s="102"/>
    </row>
    <row r="100" spans="1:81" ht="17.25" customHeight="1">
      <c r="A100" s="124"/>
      <c r="B100" s="101"/>
      <c r="C100" s="102"/>
      <c r="D100" s="102"/>
      <c r="E100" s="102"/>
      <c r="F100" s="106"/>
      <c r="G100" s="106"/>
      <c r="H100" s="106"/>
      <c r="I100" s="106"/>
      <c r="J100" s="102">
        <v>30</v>
      </c>
      <c r="K100" s="102">
        <v>30</v>
      </c>
      <c r="L100" s="105"/>
      <c r="M100" s="106"/>
      <c r="N100" s="101"/>
      <c r="O100" s="102"/>
      <c r="P100" s="102"/>
      <c r="Q100" s="102">
        <f t="shared" si="11"/>
        <v>0</v>
      </c>
      <c r="R100" s="102">
        <v>3800</v>
      </c>
      <c r="S100" s="106">
        <f t="shared" si="12"/>
        <v>0</v>
      </c>
      <c r="T100" s="102"/>
      <c r="U100" s="102"/>
      <c r="V100" s="102"/>
      <c r="W100" s="102">
        <v>100000</v>
      </c>
      <c r="X100" s="102">
        <f t="shared" si="5"/>
        <v>0</v>
      </c>
      <c r="Y100" s="102"/>
      <c r="Z100" s="102">
        <v>30000</v>
      </c>
      <c r="AA100" s="102">
        <f t="shared" si="13"/>
        <v>0</v>
      </c>
      <c r="AB100" s="102"/>
      <c r="AC100" s="102">
        <v>100000</v>
      </c>
      <c r="AD100" s="102">
        <f t="shared" si="21"/>
        <v>0</v>
      </c>
      <c r="AE100" s="102"/>
      <c r="AF100" s="102">
        <v>40000</v>
      </c>
      <c r="AG100" s="102"/>
      <c r="AH100" s="102"/>
      <c r="AI100" s="102"/>
      <c r="AJ100" s="102"/>
      <c r="AK100" s="101"/>
      <c r="AL100" s="102"/>
      <c r="AM100" s="108">
        <f t="shared" si="20"/>
        <v>0</v>
      </c>
      <c r="AN100" s="102"/>
      <c r="AO100" s="102"/>
      <c r="AP100" s="102"/>
      <c r="AQ100" s="127">
        <f t="shared" si="16"/>
        <v>0</v>
      </c>
      <c r="AR100" s="128">
        <f t="shared" si="9"/>
        <v>0</v>
      </c>
      <c r="AS100" s="102"/>
      <c r="AT100" s="133"/>
      <c r="AU100" s="129" t="str">
        <f t="shared" si="10"/>
        <v>Trống</v>
      </c>
      <c r="AV100" s="130">
        <f t="shared" si="2"/>
        <v>0</v>
      </c>
      <c r="AW100" s="131"/>
      <c r="AX100" s="106"/>
      <c r="AY100" s="102"/>
      <c r="AZ100" s="102"/>
      <c r="BA100" s="102"/>
      <c r="BB100" s="102"/>
      <c r="BC100" s="102"/>
      <c r="BD100" s="102"/>
      <c r="BE100" s="102"/>
      <c r="BF100" s="102"/>
      <c r="BG100" s="102"/>
      <c r="BH100" s="106"/>
      <c r="BI100" s="102"/>
      <c r="BJ100" s="102"/>
      <c r="BK100" s="102"/>
      <c r="BL100" s="102"/>
      <c r="BM100" s="102"/>
      <c r="BN100" s="102"/>
      <c r="BO100" s="132"/>
      <c r="BP100" s="102"/>
      <c r="BQ100" s="132"/>
      <c r="BR100" s="102"/>
      <c r="BS100" s="102"/>
      <c r="BT100" s="102"/>
      <c r="BU100" s="102"/>
      <c r="BV100" s="102"/>
      <c r="BW100" s="102"/>
      <c r="BX100" s="102"/>
      <c r="BY100" s="102"/>
      <c r="BZ100" s="102"/>
      <c r="CA100" s="102"/>
      <c r="CB100" s="102"/>
      <c r="CC100" s="102"/>
    </row>
    <row r="101" spans="1:81" ht="19.5" customHeight="1">
      <c r="A101" s="124"/>
      <c r="B101" s="101"/>
      <c r="C101" s="102"/>
      <c r="D101" s="102"/>
      <c r="E101" s="102"/>
      <c r="F101" s="106"/>
      <c r="G101" s="106"/>
      <c r="H101" s="106"/>
      <c r="I101" s="106"/>
      <c r="J101" s="102">
        <v>30</v>
      </c>
      <c r="K101" s="102">
        <v>30</v>
      </c>
      <c r="L101" s="105"/>
      <c r="M101" s="106"/>
      <c r="N101" s="101"/>
      <c r="O101" s="102"/>
      <c r="P101" s="102"/>
      <c r="Q101" s="102">
        <f t="shared" si="11"/>
        <v>0</v>
      </c>
      <c r="R101" s="102">
        <v>3800</v>
      </c>
      <c r="S101" s="106">
        <f t="shared" si="12"/>
        <v>0</v>
      </c>
      <c r="T101" s="102"/>
      <c r="U101" s="102"/>
      <c r="V101" s="102"/>
      <c r="W101" s="102">
        <v>100000</v>
      </c>
      <c r="X101" s="102">
        <f t="shared" si="5"/>
        <v>0</v>
      </c>
      <c r="Y101" s="102"/>
      <c r="Z101" s="102">
        <v>30000</v>
      </c>
      <c r="AA101" s="102">
        <f t="shared" si="13"/>
        <v>0</v>
      </c>
      <c r="AB101" s="102"/>
      <c r="AC101" s="102">
        <v>100000</v>
      </c>
      <c r="AD101" s="102">
        <f t="shared" si="21"/>
        <v>0</v>
      </c>
      <c r="AE101" s="102"/>
      <c r="AF101" s="102">
        <v>50000</v>
      </c>
      <c r="AG101" s="102"/>
      <c r="AH101" s="102"/>
      <c r="AI101" s="102"/>
      <c r="AJ101" s="102"/>
      <c r="AK101" s="101"/>
      <c r="AL101" s="102"/>
      <c r="AM101" s="108">
        <f t="shared" si="20"/>
        <v>0</v>
      </c>
      <c r="AN101" s="102"/>
      <c r="AO101" s="102"/>
      <c r="AP101" s="102"/>
      <c r="AQ101" s="127">
        <f t="shared" si="16"/>
        <v>0</v>
      </c>
      <c r="AR101" s="128">
        <f t="shared" si="9"/>
        <v>0</v>
      </c>
      <c r="AS101" s="102"/>
      <c r="AT101" s="133"/>
      <c r="AU101" s="129" t="str">
        <f t="shared" si="10"/>
        <v>Trống</v>
      </c>
      <c r="AV101" s="130">
        <f t="shared" si="2"/>
        <v>0</v>
      </c>
      <c r="AW101" s="135"/>
      <c r="AX101" s="106"/>
      <c r="AY101" s="102"/>
      <c r="AZ101" s="102"/>
      <c r="BA101" s="102"/>
      <c r="BB101" s="102"/>
      <c r="BC101" s="102"/>
      <c r="BD101" s="102"/>
      <c r="BE101" s="102"/>
      <c r="BF101" s="102">
        <f>BE101-BD101</f>
        <v>0</v>
      </c>
      <c r="BG101" s="102">
        <v>3800</v>
      </c>
      <c r="BH101" s="106">
        <f>BF101*BG101</f>
        <v>0</v>
      </c>
      <c r="BI101" s="102"/>
      <c r="BJ101" s="102"/>
      <c r="BK101" s="102"/>
      <c r="BL101" s="102"/>
      <c r="BM101" s="102"/>
      <c r="BN101" s="102"/>
      <c r="BO101" s="102"/>
      <c r="BP101" s="102"/>
      <c r="BQ101" s="132"/>
      <c r="BR101" s="102"/>
      <c r="BS101" s="102"/>
      <c r="BT101" s="102"/>
      <c r="BU101" s="102"/>
      <c r="BV101" s="102"/>
      <c r="BW101" s="102"/>
      <c r="BX101" s="102"/>
      <c r="BY101" s="102"/>
      <c r="BZ101" s="102"/>
      <c r="CA101" s="102"/>
      <c r="CB101" s="102"/>
      <c r="CC101" s="102"/>
    </row>
    <row r="102" spans="1:81" ht="22.5" customHeight="1">
      <c r="A102" s="124"/>
      <c r="B102" s="101"/>
      <c r="C102" s="102"/>
      <c r="D102" s="102"/>
      <c r="E102" s="102"/>
      <c r="F102" s="106"/>
      <c r="G102" s="106"/>
      <c r="H102" s="106"/>
      <c r="I102" s="106"/>
      <c r="J102" s="102">
        <v>30</v>
      </c>
      <c r="K102" s="102">
        <v>30</v>
      </c>
      <c r="L102" s="105"/>
      <c r="M102" s="106"/>
      <c r="N102" s="101"/>
      <c r="O102" s="102"/>
      <c r="P102" s="102"/>
      <c r="Q102" s="102">
        <f t="shared" si="11"/>
        <v>0</v>
      </c>
      <c r="R102" s="102">
        <v>3800</v>
      </c>
      <c r="S102" s="106">
        <f t="shared" si="12"/>
        <v>0</v>
      </c>
      <c r="T102" s="102"/>
      <c r="U102" s="102"/>
      <c r="V102" s="102"/>
      <c r="W102" s="102">
        <v>100000</v>
      </c>
      <c r="X102" s="102">
        <f t="shared" si="5"/>
        <v>0</v>
      </c>
      <c r="Y102" s="102"/>
      <c r="Z102" s="102">
        <v>30000</v>
      </c>
      <c r="AA102" s="102">
        <f t="shared" si="13"/>
        <v>0</v>
      </c>
      <c r="AB102" s="102"/>
      <c r="AC102" s="102">
        <v>100000</v>
      </c>
      <c r="AD102" s="102">
        <f t="shared" si="21"/>
        <v>0</v>
      </c>
      <c r="AE102" s="102"/>
      <c r="AF102" s="102">
        <v>50000</v>
      </c>
      <c r="AG102" s="102"/>
      <c r="AH102" s="102"/>
      <c r="AI102" s="102"/>
      <c r="AJ102" s="102"/>
      <c r="AK102" s="101"/>
      <c r="AL102" s="102"/>
      <c r="AM102" s="108">
        <f t="shared" si="20"/>
        <v>0</v>
      </c>
      <c r="AN102" s="102"/>
      <c r="AO102" s="102"/>
      <c r="AP102" s="102"/>
      <c r="AQ102" s="127">
        <f t="shared" si="16"/>
        <v>0</v>
      </c>
      <c r="AR102" s="128">
        <f t="shared" si="9"/>
        <v>0</v>
      </c>
      <c r="AS102" s="102"/>
      <c r="AT102" s="133"/>
      <c r="AU102" s="129" t="str">
        <f t="shared" si="10"/>
        <v>Trống</v>
      </c>
      <c r="AV102" s="130">
        <f t="shared" si="2"/>
        <v>0</v>
      </c>
      <c r="AW102" s="131"/>
      <c r="AX102" s="106"/>
      <c r="AY102" s="102"/>
      <c r="AZ102" s="102"/>
      <c r="BA102" s="102"/>
      <c r="BB102" s="102"/>
      <c r="BC102" s="102"/>
      <c r="BD102" s="102"/>
      <c r="BE102" s="102"/>
      <c r="BF102" s="102"/>
      <c r="BG102" s="102"/>
      <c r="BH102" s="106"/>
      <c r="BI102" s="102"/>
      <c r="BJ102" s="102"/>
      <c r="BK102" s="102"/>
      <c r="BL102" s="102"/>
      <c r="BM102" s="102"/>
      <c r="BN102" s="102"/>
      <c r="BO102" s="132"/>
      <c r="BP102" s="102"/>
      <c r="BQ102" s="132"/>
      <c r="BR102" s="102"/>
      <c r="BS102" s="102"/>
      <c r="BT102" s="102"/>
      <c r="BU102" s="102"/>
      <c r="BV102" s="102"/>
      <c r="BW102" s="102"/>
      <c r="BX102" s="102"/>
      <c r="BY102" s="102"/>
      <c r="BZ102" s="102"/>
      <c r="CA102" s="102"/>
      <c r="CB102" s="102"/>
      <c r="CC102" s="102"/>
    </row>
    <row r="103" spans="1:81" ht="19.5" customHeight="1">
      <c r="A103" s="124"/>
      <c r="B103" s="101"/>
      <c r="C103" s="102"/>
      <c r="D103" s="102"/>
      <c r="E103" s="102"/>
      <c r="F103" s="106"/>
      <c r="G103" s="106"/>
      <c r="H103" s="106"/>
      <c r="I103" s="106"/>
      <c r="J103" s="102">
        <v>30</v>
      </c>
      <c r="K103" s="102">
        <v>30</v>
      </c>
      <c r="L103" s="105"/>
      <c r="M103" s="106"/>
      <c r="N103" s="101"/>
      <c r="O103" s="102"/>
      <c r="P103" s="102"/>
      <c r="Q103" s="102">
        <f t="shared" si="11"/>
        <v>0</v>
      </c>
      <c r="R103" s="102">
        <v>3500</v>
      </c>
      <c r="S103" s="106">
        <f t="shared" si="12"/>
        <v>0</v>
      </c>
      <c r="T103" s="102"/>
      <c r="U103" s="102"/>
      <c r="V103" s="102"/>
      <c r="W103" s="102">
        <v>100000</v>
      </c>
      <c r="X103" s="102">
        <f t="shared" si="5"/>
        <v>0</v>
      </c>
      <c r="Y103" s="102"/>
      <c r="Z103" s="102">
        <v>30000</v>
      </c>
      <c r="AA103" s="102">
        <f t="shared" si="13"/>
        <v>0</v>
      </c>
      <c r="AB103" s="102"/>
      <c r="AC103" s="102">
        <v>100000</v>
      </c>
      <c r="AD103" s="102">
        <f t="shared" si="21"/>
        <v>0</v>
      </c>
      <c r="AE103" s="102"/>
      <c r="AF103" s="102">
        <v>50000</v>
      </c>
      <c r="AG103" s="102"/>
      <c r="AH103" s="102"/>
      <c r="AI103" s="102"/>
      <c r="AJ103" s="102"/>
      <c r="AK103" s="101"/>
      <c r="AL103" s="102"/>
      <c r="AM103" s="108">
        <f t="shared" si="20"/>
        <v>0</v>
      </c>
      <c r="AN103" s="102"/>
      <c r="AO103" s="102"/>
      <c r="AP103" s="102"/>
      <c r="AQ103" s="127">
        <f t="shared" si="16"/>
        <v>0</v>
      </c>
      <c r="AR103" s="128">
        <f t="shared" si="9"/>
        <v>0</v>
      </c>
      <c r="AS103" s="102"/>
      <c r="AT103" s="133"/>
      <c r="AU103" s="129" t="str">
        <f t="shared" si="10"/>
        <v>Trống</v>
      </c>
      <c r="AV103" s="130">
        <f t="shared" si="2"/>
        <v>0</v>
      </c>
      <c r="AW103" s="131"/>
      <c r="AX103" s="106"/>
      <c r="AY103" s="102"/>
      <c r="AZ103" s="102"/>
      <c r="BA103" s="102"/>
      <c r="BB103" s="102"/>
      <c r="BC103" s="102"/>
      <c r="BD103" s="102"/>
      <c r="BE103" s="102"/>
      <c r="BF103" s="102"/>
      <c r="BG103" s="102"/>
      <c r="BH103" s="106"/>
      <c r="BI103" s="102"/>
      <c r="BJ103" s="102"/>
      <c r="BK103" s="102"/>
      <c r="BL103" s="102"/>
      <c r="BM103" s="102"/>
      <c r="BN103" s="102"/>
      <c r="BO103" s="132"/>
      <c r="BP103" s="102"/>
      <c r="BQ103" s="132"/>
      <c r="BR103" s="102"/>
      <c r="BS103" s="102"/>
      <c r="BT103" s="102"/>
      <c r="BU103" s="102"/>
      <c r="BV103" s="102"/>
      <c r="BW103" s="102"/>
      <c r="BX103" s="102"/>
      <c r="BY103" s="102"/>
      <c r="BZ103" s="102"/>
      <c r="CA103" s="102"/>
      <c r="CB103" s="102"/>
      <c r="CC103" s="102"/>
    </row>
    <row r="104" spans="1:81" ht="20.25" customHeight="1">
      <c r="A104" s="124"/>
      <c r="B104" s="101"/>
      <c r="C104" s="102"/>
      <c r="D104" s="102"/>
      <c r="E104" s="102"/>
      <c r="F104" s="106"/>
      <c r="G104" s="106"/>
      <c r="H104" s="106"/>
      <c r="I104" s="106"/>
      <c r="J104" s="102">
        <v>30</v>
      </c>
      <c r="K104" s="102">
        <v>30</v>
      </c>
      <c r="L104" s="105"/>
      <c r="M104" s="106"/>
      <c r="N104" s="101"/>
      <c r="O104" s="102"/>
      <c r="P104" s="102"/>
      <c r="Q104" s="102">
        <f t="shared" si="11"/>
        <v>0</v>
      </c>
      <c r="R104" s="102">
        <v>3800</v>
      </c>
      <c r="S104" s="106">
        <f t="shared" si="12"/>
        <v>0</v>
      </c>
      <c r="T104" s="102"/>
      <c r="U104" s="102"/>
      <c r="V104" s="102"/>
      <c r="W104" s="102">
        <v>30000</v>
      </c>
      <c r="X104" s="102">
        <f t="shared" si="5"/>
        <v>0</v>
      </c>
      <c r="Y104" s="102"/>
      <c r="Z104" s="102">
        <v>30000</v>
      </c>
      <c r="AA104" s="102">
        <f t="shared" si="13"/>
        <v>0</v>
      </c>
      <c r="AB104" s="102"/>
      <c r="AC104" s="102">
        <v>100000</v>
      </c>
      <c r="AD104" s="102">
        <f t="shared" si="21"/>
        <v>0</v>
      </c>
      <c r="AE104" s="102"/>
      <c r="AF104" s="102">
        <v>50000</v>
      </c>
      <c r="AG104" s="102"/>
      <c r="AH104" s="102"/>
      <c r="AI104" s="102"/>
      <c r="AJ104" s="102"/>
      <c r="AK104" s="101"/>
      <c r="AL104" s="102"/>
      <c r="AM104" s="108">
        <f t="shared" si="20"/>
        <v>0</v>
      </c>
      <c r="AN104" s="102"/>
      <c r="AO104" s="102"/>
      <c r="AP104" s="102"/>
      <c r="AQ104" s="127">
        <f t="shared" si="16"/>
        <v>0</v>
      </c>
      <c r="AR104" s="128">
        <f t="shared" si="9"/>
        <v>0</v>
      </c>
      <c r="AS104" s="102"/>
      <c r="AT104" s="133"/>
      <c r="AU104" s="129" t="str">
        <f t="shared" si="10"/>
        <v>Trống</v>
      </c>
      <c r="AV104" s="130">
        <f t="shared" si="2"/>
        <v>0</v>
      </c>
      <c r="AW104" s="131"/>
      <c r="AX104" s="106"/>
      <c r="AY104" s="102"/>
      <c r="AZ104" s="102"/>
      <c r="BA104" s="102"/>
      <c r="BB104" s="102"/>
      <c r="BC104" s="102"/>
      <c r="BD104" s="102">
        <v>8817</v>
      </c>
      <c r="BE104" s="102">
        <v>9013</v>
      </c>
      <c r="BF104" s="102">
        <f>BE104-BD104</f>
        <v>196</v>
      </c>
      <c r="BG104" s="102">
        <v>3800</v>
      </c>
      <c r="BH104" s="106">
        <f>BG104*BF104</f>
        <v>744800</v>
      </c>
      <c r="BI104" s="102">
        <v>478</v>
      </c>
      <c r="BJ104" s="102">
        <v>485</v>
      </c>
      <c r="BK104" s="102">
        <f>BJ104-BI104</f>
        <v>7</v>
      </c>
      <c r="BL104" s="102">
        <v>30000</v>
      </c>
      <c r="BM104" s="102"/>
      <c r="BN104" s="102">
        <f>BK104*BL104</f>
        <v>210000</v>
      </c>
      <c r="BO104" s="132"/>
      <c r="BP104" s="102"/>
      <c r="BQ104" s="132"/>
      <c r="BR104" s="102"/>
      <c r="BS104" s="102"/>
      <c r="BT104" s="102"/>
      <c r="BU104" s="102"/>
      <c r="BV104" s="102"/>
      <c r="BW104" s="102"/>
      <c r="BX104" s="102"/>
      <c r="BY104" s="102"/>
      <c r="BZ104" s="102"/>
      <c r="CA104" s="102"/>
      <c r="CB104" s="102"/>
      <c r="CC104" s="102"/>
    </row>
    <row r="105" spans="1:81" ht="18.75" customHeight="1">
      <c r="A105" s="124"/>
      <c r="B105" s="101"/>
      <c r="C105" s="102"/>
      <c r="D105" s="102"/>
      <c r="E105" s="102"/>
      <c r="F105" s="106"/>
      <c r="G105" s="106"/>
      <c r="H105" s="106"/>
      <c r="I105" s="106"/>
      <c r="J105" s="102">
        <v>30</v>
      </c>
      <c r="K105" s="102">
        <v>30</v>
      </c>
      <c r="L105" s="105"/>
      <c r="M105" s="106"/>
      <c r="N105" s="101"/>
      <c r="O105" s="102"/>
      <c r="P105" s="102"/>
      <c r="Q105" s="102">
        <f t="shared" si="11"/>
        <v>0</v>
      </c>
      <c r="R105" s="102">
        <v>3800</v>
      </c>
      <c r="S105" s="106">
        <f t="shared" si="12"/>
        <v>0</v>
      </c>
      <c r="T105" s="102"/>
      <c r="U105" s="102"/>
      <c r="V105" s="102"/>
      <c r="W105" s="102">
        <v>100000</v>
      </c>
      <c r="X105" s="102">
        <f t="shared" si="5"/>
        <v>0</v>
      </c>
      <c r="Y105" s="102"/>
      <c r="Z105" s="102">
        <v>30000</v>
      </c>
      <c r="AA105" s="102">
        <f t="shared" si="13"/>
        <v>0</v>
      </c>
      <c r="AB105" s="102"/>
      <c r="AC105" s="102">
        <v>100000</v>
      </c>
      <c r="AD105" s="102">
        <f t="shared" si="21"/>
        <v>0</v>
      </c>
      <c r="AE105" s="102"/>
      <c r="AF105" s="102">
        <v>50000</v>
      </c>
      <c r="AG105" s="102"/>
      <c r="AH105" s="102"/>
      <c r="AI105" s="102"/>
      <c r="AJ105" s="102"/>
      <c r="AK105" s="101"/>
      <c r="AL105" s="102"/>
      <c r="AM105" s="108">
        <f t="shared" si="20"/>
        <v>0</v>
      </c>
      <c r="AN105" s="102"/>
      <c r="AO105" s="102"/>
      <c r="AP105" s="102"/>
      <c r="AQ105" s="127">
        <f t="shared" si="16"/>
        <v>0</v>
      </c>
      <c r="AR105" s="128">
        <f t="shared" si="9"/>
        <v>0</v>
      </c>
      <c r="AS105" s="102"/>
      <c r="AT105" s="133"/>
      <c r="AU105" s="129" t="str">
        <f t="shared" si="10"/>
        <v>Trống</v>
      </c>
      <c r="AV105" s="130">
        <f t="shared" si="2"/>
        <v>0</v>
      </c>
      <c r="AW105" s="131"/>
      <c r="AX105" s="106"/>
      <c r="AY105" s="102"/>
      <c r="AZ105" s="102"/>
      <c r="BA105" s="102"/>
      <c r="BB105" s="102"/>
      <c r="BC105" s="102"/>
      <c r="BD105" s="102"/>
      <c r="BE105" s="102"/>
      <c r="BF105" s="102"/>
      <c r="BG105" s="102"/>
      <c r="BH105" s="106"/>
      <c r="BI105" s="102"/>
      <c r="BJ105" s="102"/>
      <c r="BK105" s="102"/>
      <c r="BL105" s="102"/>
      <c r="BM105" s="102"/>
      <c r="BN105" s="102"/>
      <c r="BO105" s="132"/>
      <c r="BP105" s="102"/>
      <c r="BQ105" s="132"/>
      <c r="BR105" s="102"/>
      <c r="BS105" s="102"/>
      <c r="BT105" s="102"/>
      <c r="BU105" s="102"/>
      <c r="BV105" s="102"/>
      <c r="BW105" s="102"/>
      <c r="BX105" s="102"/>
      <c r="BY105" s="102"/>
      <c r="BZ105" s="102"/>
      <c r="CA105" s="102"/>
      <c r="CB105" s="102"/>
      <c r="CC105" s="102"/>
    </row>
    <row r="106" spans="1:81" ht="22.5" customHeight="1">
      <c r="A106" s="124"/>
      <c r="B106" s="101"/>
      <c r="C106" s="102"/>
      <c r="D106" s="102"/>
      <c r="E106" s="102"/>
      <c r="F106" s="106"/>
      <c r="G106" s="106"/>
      <c r="H106" s="106"/>
      <c r="I106" s="106"/>
      <c r="J106" s="102">
        <v>30</v>
      </c>
      <c r="K106" s="102">
        <v>30</v>
      </c>
      <c r="L106" s="105"/>
      <c r="M106" s="106"/>
      <c r="N106" s="101"/>
      <c r="O106" s="102"/>
      <c r="P106" s="102"/>
      <c r="Q106" s="102">
        <f t="shared" si="11"/>
        <v>0</v>
      </c>
      <c r="R106" s="102">
        <v>3800</v>
      </c>
      <c r="S106" s="106">
        <f t="shared" si="12"/>
        <v>0</v>
      </c>
      <c r="T106" s="102"/>
      <c r="U106" s="102"/>
      <c r="V106" s="102"/>
      <c r="W106" s="102">
        <v>35000</v>
      </c>
      <c r="X106" s="102">
        <f t="shared" si="5"/>
        <v>0</v>
      </c>
      <c r="Y106" s="102"/>
      <c r="Z106" s="102">
        <v>30000</v>
      </c>
      <c r="AA106" s="102">
        <f t="shared" si="13"/>
        <v>0</v>
      </c>
      <c r="AB106" s="102"/>
      <c r="AC106" s="102">
        <v>100000</v>
      </c>
      <c r="AD106" s="102">
        <f t="shared" si="21"/>
        <v>0</v>
      </c>
      <c r="AE106" s="102"/>
      <c r="AF106" s="102">
        <v>50000</v>
      </c>
      <c r="AG106" s="102"/>
      <c r="AH106" s="102"/>
      <c r="AI106" s="102"/>
      <c r="AJ106" s="102"/>
      <c r="AK106" s="101"/>
      <c r="AL106" s="102"/>
      <c r="AM106" s="108">
        <f t="shared" si="20"/>
        <v>0</v>
      </c>
      <c r="AN106" s="102"/>
      <c r="AO106" s="102"/>
      <c r="AP106" s="102"/>
      <c r="AQ106" s="127">
        <f>S106+X106+SUM(AA106,AD106,AG106,AJ106,AM106,AP106)</f>
        <v>0</v>
      </c>
      <c r="AR106" s="128">
        <f t="shared" si="9"/>
        <v>0</v>
      </c>
      <c r="AS106" s="102"/>
      <c r="AT106" s="133"/>
      <c r="AU106" s="129" t="str">
        <f t="shared" si="10"/>
        <v>Trống</v>
      </c>
      <c r="AV106" s="130">
        <f t="shared" si="2"/>
        <v>0</v>
      </c>
      <c r="AW106" s="131"/>
      <c r="AX106" s="106"/>
      <c r="AY106" s="102"/>
      <c r="AZ106" s="102"/>
      <c r="BA106" s="102"/>
      <c r="BB106" s="102"/>
      <c r="BC106" s="102"/>
      <c r="BD106" s="102"/>
      <c r="BE106" s="102"/>
      <c r="BF106" s="102"/>
      <c r="BG106" s="102"/>
      <c r="BH106" s="106"/>
      <c r="BI106" s="102"/>
      <c r="BJ106" s="102"/>
      <c r="BK106" s="102"/>
      <c r="BL106" s="102"/>
      <c r="BM106" s="102"/>
      <c r="BN106" s="102"/>
      <c r="BO106" s="132"/>
      <c r="BP106" s="102"/>
      <c r="BQ106" s="102"/>
      <c r="BR106" s="102"/>
      <c r="BS106" s="102"/>
      <c r="BT106" s="102"/>
      <c r="BU106" s="102"/>
      <c r="BV106" s="102"/>
      <c r="BW106" s="102"/>
      <c r="BX106" s="102"/>
      <c r="BY106" s="102"/>
      <c r="BZ106" s="102"/>
      <c r="CA106" s="102"/>
      <c r="CB106" s="102"/>
      <c r="CC106" s="102"/>
    </row>
    <row r="107" spans="1:81" ht="21" customHeight="1">
      <c r="A107" s="124"/>
      <c r="B107" s="101"/>
      <c r="C107" s="102"/>
      <c r="D107" s="102"/>
      <c r="E107" s="102"/>
      <c r="F107" s="106"/>
      <c r="G107" s="106"/>
      <c r="H107" s="106"/>
      <c r="I107" s="106"/>
      <c r="J107" s="102">
        <v>30</v>
      </c>
      <c r="K107" s="102">
        <v>30</v>
      </c>
      <c r="L107" s="105"/>
      <c r="M107" s="106"/>
      <c r="N107" s="101"/>
      <c r="O107" s="102"/>
      <c r="P107" s="102"/>
      <c r="Q107" s="102">
        <f t="shared" si="11"/>
        <v>0</v>
      </c>
      <c r="R107" s="102">
        <v>3800</v>
      </c>
      <c r="S107" s="106">
        <f t="shared" si="12"/>
        <v>0</v>
      </c>
      <c r="T107" s="102"/>
      <c r="U107" s="102"/>
      <c r="V107" s="102"/>
      <c r="W107" s="102">
        <v>100000</v>
      </c>
      <c r="X107" s="102">
        <f t="shared" si="5"/>
        <v>0</v>
      </c>
      <c r="Y107" s="102"/>
      <c r="Z107" s="102">
        <v>30000</v>
      </c>
      <c r="AA107" s="102">
        <f t="shared" si="13"/>
        <v>0</v>
      </c>
      <c r="AB107" s="102"/>
      <c r="AC107" s="102">
        <v>100000</v>
      </c>
      <c r="AD107" s="102">
        <f t="shared" si="21"/>
        <v>0</v>
      </c>
      <c r="AE107" s="102"/>
      <c r="AF107" s="102">
        <v>40000</v>
      </c>
      <c r="AG107" s="102"/>
      <c r="AH107" s="102"/>
      <c r="AI107" s="102"/>
      <c r="AJ107" s="102"/>
      <c r="AK107" s="101"/>
      <c r="AL107" s="102"/>
      <c r="AM107" s="108">
        <f t="shared" si="20"/>
        <v>0</v>
      </c>
      <c r="AN107" s="102"/>
      <c r="AO107" s="102"/>
      <c r="AP107" s="102"/>
      <c r="AQ107" s="127">
        <f t="shared" ref="AQ107:AQ115" si="22">SUM(S107,X107,AA107,AD107,AG107,AJ107,AM107,AP107)</f>
        <v>0</v>
      </c>
      <c r="AR107" s="128">
        <f t="shared" si="9"/>
        <v>0</v>
      </c>
      <c r="AS107" s="102"/>
      <c r="AT107" s="133"/>
      <c r="AU107" s="129" t="str">
        <f t="shared" si="10"/>
        <v>Trống</v>
      </c>
      <c r="AV107" s="130">
        <f t="shared" si="2"/>
        <v>0</v>
      </c>
      <c r="AW107" s="131"/>
      <c r="AX107" s="106"/>
      <c r="AY107" s="102"/>
      <c r="AZ107" s="102"/>
      <c r="BA107" s="102"/>
      <c r="BB107" s="102"/>
      <c r="BC107" s="102"/>
      <c r="BD107" s="102"/>
      <c r="BE107" s="102"/>
      <c r="BF107" s="102"/>
      <c r="BG107" s="102"/>
      <c r="BH107" s="106"/>
      <c r="BI107" s="102"/>
      <c r="BJ107" s="102"/>
      <c r="BK107" s="102"/>
      <c r="BL107" s="102"/>
      <c r="BM107" s="102"/>
      <c r="BN107" s="102"/>
      <c r="BO107" s="132"/>
      <c r="BP107" s="102"/>
      <c r="BQ107" s="132"/>
      <c r="BR107" s="102"/>
      <c r="BS107" s="102"/>
      <c r="BT107" s="102"/>
      <c r="BU107" s="102"/>
      <c r="BV107" s="102"/>
      <c r="BW107" s="102"/>
      <c r="BX107" s="102"/>
      <c r="BY107" s="102"/>
      <c r="BZ107" s="102"/>
      <c r="CA107" s="102"/>
      <c r="CB107" s="102"/>
      <c r="CC107" s="102"/>
    </row>
    <row r="108" spans="1:81" ht="21" customHeight="1">
      <c r="A108" s="124"/>
      <c r="B108" s="101"/>
      <c r="C108" s="102"/>
      <c r="D108" s="102"/>
      <c r="E108" s="102"/>
      <c r="F108" s="106"/>
      <c r="G108" s="106"/>
      <c r="H108" s="106"/>
      <c r="I108" s="106"/>
      <c r="J108" s="102">
        <v>30</v>
      </c>
      <c r="K108" s="102">
        <v>30</v>
      </c>
      <c r="L108" s="105"/>
      <c r="M108" s="106"/>
      <c r="N108" s="101"/>
      <c r="O108" s="102"/>
      <c r="P108" s="102"/>
      <c r="Q108" s="102">
        <f t="shared" si="11"/>
        <v>0</v>
      </c>
      <c r="R108" s="102">
        <v>3800</v>
      </c>
      <c r="S108" s="106">
        <f t="shared" si="12"/>
        <v>0</v>
      </c>
      <c r="T108" s="102"/>
      <c r="U108" s="102"/>
      <c r="V108" s="102"/>
      <c r="W108" s="102">
        <v>100000</v>
      </c>
      <c r="X108" s="102">
        <f t="shared" si="5"/>
        <v>0</v>
      </c>
      <c r="Y108" s="102"/>
      <c r="Z108" s="102">
        <v>30000</v>
      </c>
      <c r="AA108" s="102">
        <f t="shared" si="13"/>
        <v>0</v>
      </c>
      <c r="AB108" s="102"/>
      <c r="AC108" s="102">
        <v>100000</v>
      </c>
      <c r="AD108" s="102">
        <f t="shared" si="21"/>
        <v>0</v>
      </c>
      <c r="AE108" s="102"/>
      <c r="AF108" s="102">
        <v>50000</v>
      </c>
      <c r="AG108" s="102"/>
      <c r="AH108" s="102"/>
      <c r="AI108" s="102"/>
      <c r="AJ108" s="102"/>
      <c r="AK108" s="101"/>
      <c r="AL108" s="102"/>
      <c r="AM108" s="108">
        <f t="shared" si="20"/>
        <v>0</v>
      </c>
      <c r="AN108" s="102"/>
      <c r="AO108" s="102"/>
      <c r="AP108" s="102"/>
      <c r="AQ108" s="127">
        <f t="shared" si="22"/>
        <v>0</v>
      </c>
      <c r="AR108" s="128">
        <f t="shared" si="9"/>
        <v>0</v>
      </c>
      <c r="AS108" s="102"/>
      <c r="AT108" s="133"/>
      <c r="AU108" s="129" t="str">
        <f t="shared" si="10"/>
        <v>Trống</v>
      </c>
      <c r="AV108" s="130">
        <f t="shared" si="2"/>
        <v>0</v>
      </c>
      <c r="AW108" s="131"/>
      <c r="AX108" s="106"/>
      <c r="AY108" s="102"/>
      <c r="AZ108" s="102"/>
      <c r="BA108" s="102"/>
      <c r="BB108" s="102"/>
      <c r="BC108" s="102"/>
      <c r="BD108" s="102"/>
      <c r="BE108" s="102"/>
      <c r="BF108" s="102"/>
      <c r="BG108" s="102"/>
      <c r="BH108" s="106"/>
      <c r="BI108" s="102"/>
      <c r="BJ108" s="102"/>
      <c r="BK108" s="102"/>
      <c r="BL108" s="102"/>
      <c r="BM108" s="102"/>
      <c r="BN108" s="102"/>
      <c r="BO108" s="132"/>
      <c r="BP108" s="102"/>
      <c r="BQ108" s="132"/>
      <c r="BR108" s="102"/>
      <c r="BS108" s="102"/>
      <c r="BT108" s="102"/>
      <c r="BU108" s="102"/>
      <c r="BV108" s="102"/>
      <c r="BW108" s="102"/>
      <c r="BX108" s="102"/>
      <c r="BY108" s="102"/>
      <c r="BZ108" s="102"/>
      <c r="CA108" s="102"/>
      <c r="CB108" s="102"/>
      <c r="CC108" s="102"/>
    </row>
    <row r="109" spans="1:81" ht="18.75" customHeight="1">
      <c r="A109" s="124"/>
      <c r="B109" s="101"/>
      <c r="C109" s="102"/>
      <c r="D109" s="102"/>
      <c r="E109" s="102"/>
      <c r="F109" s="106"/>
      <c r="G109" s="106"/>
      <c r="H109" s="106"/>
      <c r="I109" s="106"/>
      <c r="J109" s="102">
        <v>30</v>
      </c>
      <c r="K109" s="102">
        <v>30</v>
      </c>
      <c r="L109" s="105"/>
      <c r="M109" s="106"/>
      <c r="N109" s="101"/>
      <c r="O109" s="102"/>
      <c r="P109" s="102"/>
      <c r="Q109" s="102">
        <f t="shared" si="11"/>
        <v>0</v>
      </c>
      <c r="R109" s="102">
        <v>3800</v>
      </c>
      <c r="S109" s="106">
        <f t="shared" si="12"/>
        <v>0</v>
      </c>
      <c r="T109" s="102"/>
      <c r="U109" s="102"/>
      <c r="V109" s="102"/>
      <c r="W109" s="102">
        <v>100000</v>
      </c>
      <c r="X109" s="102">
        <f t="shared" si="5"/>
        <v>0</v>
      </c>
      <c r="Y109" s="102"/>
      <c r="Z109" s="102">
        <v>30000</v>
      </c>
      <c r="AA109" s="102">
        <f t="shared" si="13"/>
        <v>0</v>
      </c>
      <c r="AB109" s="102"/>
      <c r="AC109" s="102">
        <v>100000</v>
      </c>
      <c r="AD109" s="102">
        <f t="shared" si="21"/>
        <v>0</v>
      </c>
      <c r="AE109" s="102"/>
      <c r="AF109" s="102">
        <v>50000</v>
      </c>
      <c r="AG109" s="102"/>
      <c r="AH109" s="102"/>
      <c r="AI109" s="102"/>
      <c r="AJ109" s="102"/>
      <c r="AK109" s="101"/>
      <c r="AL109" s="102"/>
      <c r="AM109" s="108">
        <f t="shared" si="20"/>
        <v>0</v>
      </c>
      <c r="AN109" s="102"/>
      <c r="AO109" s="102"/>
      <c r="AP109" s="102"/>
      <c r="AQ109" s="127">
        <f t="shared" si="22"/>
        <v>0</v>
      </c>
      <c r="AR109" s="128">
        <f t="shared" si="9"/>
        <v>0</v>
      </c>
      <c r="AS109" s="102"/>
      <c r="AT109" s="133"/>
      <c r="AU109" s="129" t="str">
        <f t="shared" si="10"/>
        <v>Trống</v>
      </c>
      <c r="AV109" s="130">
        <f t="shared" si="2"/>
        <v>0</v>
      </c>
      <c r="AW109" s="131"/>
      <c r="AX109" s="106"/>
      <c r="AY109" s="102"/>
      <c r="AZ109" s="102"/>
      <c r="BA109" s="102"/>
      <c r="BB109" s="102"/>
      <c r="BC109" s="102"/>
      <c r="BD109" s="102"/>
      <c r="BE109" s="102"/>
      <c r="BF109" s="102"/>
      <c r="BG109" s="102"/>
      <c r="BH109" s="106"/>
      <c r="BI109" s="102"/>
      <c r="BJ109" s="102"/>
      <c r="BK109" s="102"/>
      <c r="BL109" s="102"/>
      <c r="BM109" s="102"/>
      <c r="BN109" s="102"/>
      <c r="BO109" s="132"/>
      <c r="BP109" s="102"/>
      <c r="BQ109" s="132"/>
      <c r="BR109" s="102"/>
      <c r="BS109" s="102"/>
      <c r="BT109" s="102"/>
      <c r="BU109" s="102"/>
      <c r="BV109" s="102"/>
      <c r="BW109" s="102"/>
      <c r="BX109" s="102"/>
      <c r="BY109" s="102"/>
      <c r="BZ109" s="102"/>
      <c r="CA109" s="102"/>
      <c r="CB109" s="102"/>
      <c r="CC109" s="102"/>
    </row>
    <row r="110" spans="1:81" ht="18" customHeight="1">
      <c r="A110" s="124"/>
      <c r="B110" s="101"/>
      <c r="C110" s="102"/>
      <c r="D110" s="102"/>
      <c r="E110" s="102"/>
      <c r="F110" s="106"/>
      <c r="G110" s="106"/>
      <c r="H110" s="106"/>
      <c r="I110" s="106"/>
      <c r="J110" s="102">
        <v>30</v>
      </c>
      <c r="K110" s="102">
        <v>30</v>
      </c>
      <c r="L110" s="105"/>
      <c r="M110" s="106"/>
      <c r="N110" s="101"/>
      <c r="O110" s="102"/>
      <c r="P110" s="102"/>
      <c r="Q110" s="102">
        <f t="shared" si="11"/>
        <v>0</v>
      </c>
      <c r="R110" s="102">
        <v>3800</v>
      </c>
      <c r="S110" s="106">
        <f t="shared" si="12"/>
        <v>0</v>
      </c>
      <c r="T110" s="102"/>
      <c r="U110" s="102"/>
      <c r="V110" s="102"/>
      <c r="W110" s="102">
        <v>35000</v>
      </c>
      <c r="X110" s="102">
        <f t="shared" si="5"/>
        <v>0</v>
      </c>
      <c r="Y110" s="102"/>
      <c r="Z110" s="102">
        <v>30000</v>
      </c>
      <c r="AA110" s="102">
        <f t="shared" si="13"/>
        <v>0</v>
      </c>
      <c r="AB110" s="102"/>
      <c r="AC110" s="102">
        <v>100000</v>
      </c>
      <c r="AD110" s="102">
        <f t="shared" ref="AD110:AD144" si="23">AB110*AC110</f>
        <v>0</v>
      </c>
      <c r="AE110" s="102"/>
      <c r="AF110" s="102"/>
      <c r="AG110" s="102"/>
      <c r="AH110" s="102"/>
      <c r="AI110" s="102"/>
      <c r="AJ110" s="102"/>
      <c r="AK110" s="102"/>
      <c r="AL110" s="102"/>
      <c r="AM110" s="108">
        <f t="shared" si="20"/>
        <v>0</v>
      </c>
      <c r="AN110" s="102"/>
      <c r="AO110" s="102"/>
      <c r="AP110" s="102">
        <f t="shared" ref="AP110:AP126" si="24">AN110*AO110</f>
        <v>0</v>
      </c>
      <c r="AQ110" s="127">
        <f t="shared" si="22"/>
        <v>0</v>
      </c>
      <c r="AR110" s="128">
        <f t="shared" si="9"/>
        <v>0</v>
      </c>
      <c r="AS110" s="102"/>
      <c r="AT110" s="133"/>
      <c r="AU110" s="129" t="str">
        <f t="shared" si="10"/>
        <v>Trống</v>
      </c>
      <c r="AV110" s="130">
        <f t="shared" si="2"/>
        <v>0</v>
      </c>
      <c r="AW110" s="131"/>
      <c r="AX110" s="106"/>
      <c r="AY110" s="102"/>
      <c r="AZ110" s="102"/>
      <c r="BA110" s="102"/>
      <c r="BB110" s="102"/>
      <c r="BC110" s="102"/>
      <c r="BD110" s="102"/>
      <c r="BE110" s="102"/>
      <c r="BF110" s="102"/>
      <c r="BG110" s="102"/>
      <c r="BH110" s="106"/>
      <c r="BI110" s="102"/>
      <c r="BJ110" s="102"/>
      <c r="BK110" s="102"/>
      <c r="BL110" s="102"/>
      <c r="BM110" s="102"/>
      <c r="BN110" s="102"/>
      <c r="BO110" s="132"/>
      <c r="BP110" s="102"/>
      <c r="BQ110" s="132"/>
      <c r="BR110" s="102"/>
      <c r="BS110" s="102"/>
      <c r="BT110" s="102"/>
      <c r="BU110" s="102"/>
      <c r="BV110" s="102"/>
      <c r="BW110" s="102"/>
      <c r="BX110" s="102"/>
      <c r="BY110" s="102"/>
      <c r="BZ110" s="102"/>
      <c r="CA110" s="102"/>
      <c r="CB110" s="102"/>
      <c r="CC110" s="102"/>
    </row>
    <row r="111" spans="1:81" ht="21" customHeight="1">
      <c r="A111" s="124"/>
      <c r="B111" s="101"/>
      <c r="C111" s="102"/>
      <c r="D111" s="102"/>
      <c r="E111" s="102"/>
      <c r="F111" s="106"/>
      <c r="G111" s="106"/>
      <c r="H111" s="106"/>
      <c r="I111" s="106"/>
      <c r="J111" s="102">
        <v>30</v>
      </c>
      <c r="K111" s="102">
        <v>30</v>
      </c>
      <c r="L111" s="105"/>
      <c r="M111" s="106"/>
      <c r="N111" s="101"/>
      <c r="O111" s="102"/>
      <c r="P111" s="102"/>
      <c r="Q111" s="102">
        <f t="shared" si="11"/>
        <v>0</v>
      </c>
      <c r="R111" s="102">
        <v>3800</v>
      </c>
      <c r="S111" s="106">
        <f t="shared" si="12"/>
        <v>0</v>
      </c>
      <c r="T111" s="102"/>
      <c r="U111" s="102"/>
      <c r="V111" s="102"/>
      <c r="W111" s="102">
        <v>100000</v>
      </c>
      <c r="X111" s="102">
        <f t="shared" si="5"/>
        <v>0</v>
      </c>
      <c r="Y111" s="102"/>
      <c r="Z111" s="102">
        <v>30000</v>
      </c>
      <c r="AA111" s="102">
        <f t="shared" si="13"/>
        <v>0</v>
      </c>
      <c r="AB111" s="102"/>
      <c r="AC111" s="102">
        <v>100000</v>
      </c>
      <c r="AD111" s="102">
        <f t="shared" si="23"/>
        <v>0</v>
      </c>
      <c r="AE111" s="102"/>
      <c r="AF111" s="102"/>
      <c r="AG111" s="102"/>
      <c r="AH111" s="102"/>
      <c r="AI111" s="102"/>
      <c r="AJ111" s="102"/>
      <c r="AK111" s="102"/>
      <c r="AL111" s="102"/>
      <c r="AM111" s="108">
        <f t="shared" si="20"/>
        <v>0</v>
      </c>
      <c r="AN111" s="102"/>
      <c r="AO111" s="102"/>
      <c r="AP111" s="102">
        <f t="shared" si="24"/>
        <v>0</v>
      </c>
      <c r="AQ111" s="127">
        <f t="shared" si="22"/>
        <v>0</v>
      </c>
      <c r="AR111" s="128">
        <f t="shared" si="9"/>
        <v>0</v>
      </c>
      <c r="AS111" s="102"/>
      <c r="AT111" s="133"/>
      <c r="AU111" s="129" t="str">
        <f t="shared" si="10"/>
        <v>Trống</v>
      </c>
      <c r="AV111" s="130">
        <f t="shared" si="2"/>
        <v>0</v>
      </c>
      <c r="AW111" s="131"/>
      <c r="AX111" s="106"/>
      <c r="AY111" s="102"/>
      <c r="AZ111" s="102"/>
      <c r="BA111" s="102"/>
      <c r="BB111" s="102"/>
      <c r="BC111" s="102"/>
      <c r="BD111" s="102"/>
      <c r="BE111" s="102"/>
      <c r="BF111" s="102"/>
      <c r="BG111" s="102"/>
      <c r="BH111" s="106"/>
      <c r="BI111" s="102"/>
      <c r="BJ111" s="102"/>
      <c r="BK111" s="102"/>
      <c r="BL111" s="102"/>
      <c r="BM111" s="102"/>
      <c r="BN111" s="102"/>
      <c r="BO111" s="132"/>
      <c r="BP111" s="102"/>
      <c r="BQ111" s="132"/>
      <c r="BR111" s="102"/>
      <c r="BS111" s="102"/>
      <c r="BT111" s="102"/>
      <c r="BU111" s="102"/>
      <c r="BV111" s="102"/>
      <c r="BW111" s="102"/>
      <c r="BX111" s="102"/>
      <c r="BY111" s="102"/>
      <c r="BZ111" s="102"/>
      <c r="CA111" s="102"/>
      <c r="CB111" s="102"/>
      <c r="CC111" s="102"/>
    </row>
    <row r="112" spans="1:81" ht="21" customHeight="1">
      <c r="A112" s="124"/>
      <c r="B112" s="101"/>
      <c r="C112" s="102"/>
      <c r="D112" s="102"/>
      <c r="E112" s="102"/>
      <c r="F112" s="106"/>
      <c r="G112" s="106"/>
      <c r="H112" s="106"/>
      <c r="I112" s="106"/>
      <c r="J112" s="102">
        <v>30</v>
      </c>
      <c r="K112" s="102">
        <v>30</v>
      </c>
      <c r="L112" s="105"/>
      <c r="M112" s="106"/>
      <c r="N112" s="101"/>
      <c r="O112" s="102"/>
      <c r="P112" s="102"/>
      <c r="Q112" s="102">
        <f t="shared" si="11"/>
        <v>0</v>
      </c>
      <c r="R112" s="102">
        <v>3800</v>
      </c>
      <c r="S112" s="106">
        <f t="shared" si="12"/>
        <v>0</v>
      </c>
      <c r="T112" s="102"/>
      <c r="U112" s="102"/>
      <c r="V112" s="102"/>
      <c r="W112" s="102">
        <v>35000</v>
      </c>
      <c r="X112" s="102">
        <f t="shared" si="5"/>
        <v>0</v>
      </c>
      <c r="Y112" s="102"/>
      <c r="Z112" s="102">
        <v>30000</v>
      </c>
      <c r="AA112" s="102">
        <f t="shared" si="13"/>
        <v>0</v>
      </c>
      <c r="AB112" s="102"/>
      <c r="AC112" s="102">
        <v>100000</v>
      </c>
      <c r="AD112" s="102">
        <f t="shared" si="23"/>
        <v>0</v>
      </c>
      <c r="AE112" s="102"/>
      <c r="AF112" s="102"/>
      <c r="AG112" s="102"/>
      <c r="AH112" s="102"/>
      <c r="AI112" s="102"/>
      <c r="AJ112" s="102"/>
      <c r="AK112" s="102"/>
      <c r="AL112" s="102"/>
      <c r="AM112" s="108">
        <f t="shared" si="20"/>
        <v>0</v>
      </c>
      <c r="AN112" s="102"/>
      <c r="AO112" s="102"/>
      <c r="AP112" s="102">
        <f t="shared" si="24"/>
        <v>0</v>
      </c>
      <c r="AQ112" s="127">
        <f t="shared" si="22"/>
        <v>0</v>
      </c>
      <c r="AR112" s="128">
        <f t="shared" si="9"/>
        <v>0</v>
      </c>
      <c r="AS112" s="102"/>
      <c r="AT112" s="133"/>
      <c r="AU112" s="129" t="str">
        <f t="shared" si="10"/>
        <v>Trống</v>
      </c>
      <c r="AV112" s="130">
        <f t="shared" si="2"/>
        <v>0</v>
      </c>
      <c r="AW112" s="131"/>
      <c r="AX112" s="106"/>
      <c r="AY112" s="102"/>
      <c r="AZ112" s="102"/>
      <c r="BA112" s="102"/>
      <c r="BB112" s="102"/>
      <c r="BC112" s="102"/>
      <c r="BD112" s="102"/>
      <c r="BE112" s="102"/>
      <c r="BF112" s="102"/>
      <c r="BG112" s="102"/>
      <c r="BH112" s="106"/>
      <c r="BI112" s="102"/>
      <c r="BJ112" s="102"/>
      <c r="BK112" s="102"/>
      <c r="BL112" s="102"/>
      <c r="BM112" s="102"/>
      <c r="BN112" s="102"/>
      <c r="BO112" s="132"/>
      <c r="BP112" s="102"/>
      <c r="BQ112" s="132"/>
      <c r="BR112" s="102"/>
      <c r="BS112" s="102"/>
      <c r="BT112" s="102"/>
      <c r="BU112" s="102"/>
      <c r="BV112" s="102"/>
      <c r="BW112" s="102"/>
      <c r="BX112" s="102"/>
      <c r="BY112" s="102"/>
      <c r="BZ112" s="102"/>
      <c r="CA112" s="102"/>
      <c r="CB112" s="102"/>
      <c r="CC112" s="102"/>
    </row>
    <row r="113" spans="1:81" ht="15.75" customHeight="1">
      <c r="A113" s="124"/>
      <c r="B113" s="101"/>
      <c r="C113" s="102"/>
      <c r="D113" s="102"/>
      <c r="E113" s="102"/>
      <c r="F113" s="106"/>
      <c r="G113" s="106"/>
      <c r="H113" s="106"/>
      <c r="I113" s="106"/>
      <c r="J113" s="102">
        <v>30</v>
      </c>
      <c r="K113" s="102">
        <v>30</v>
      </c>
      <c r="L113" s="105"/>
      <c r="M113" s="106"/>
      <c r="N113" s="101"/>
      <c r="O113" s="102"/>
      <c r="P113" s="102"/>
      <c r="Q113" s="102">
        <f t="shared" si="11"/>
        <v>0</v>
      </c>
      <c r="R113" s="102">
        <v>3800</v>
      </c>
      <c r="S113" s="106">
        <f t="shared" si="12"/>
        <v>0</v>
      </c>
      <c r="T113" s="102"/>
      <c r="U113" s="102"/>
      <c r="V113" s="102"/>
      <c r="W113" s="102">
        <v>35000</v>
      </c>
      <c r="X113" s="102">
        <f t="shared" si="5"/>
        <v>0</v>
      </c>
      <c r="Y113" s="102"/>
      <c r="Z113" s="102">
        <v>30000</v>
      </c>
      <c r="AA113" s="102">
        <f t="shared" si="13"/>
        <v>0</v>
      </c>
      <c r="AB113" s="102"/>
      <c r="AC113" s="102">
        <v>100000</v>
      </c>
      <c r="AD113" s="102">
        <f t="shared" si="23"/>
        <v>0</v>
      </c>
      <c r="AE113" s="102"/>
      <c r="AF113" s="102"/>
      <c r="AG113" s="102"/>
      <c r="AH113" s="102"/>
      <c r="AI113" s="102"/>
      <c r="AJ113" s="102"/>
      <c r="AK113" s="102"/>
      <c r="AL113" s="102"/>
      <c r="AM113" s="108">
        <f t="shared" si="20"/>
        <v>0</v>
      </c>
      <c r="AN113" s="102"/>
      <c r="AO113" s="102"/>
      <c r="AP113" s="102">
        <f t="shared" si="24"/>
        <v>0</v>
      </c>
      <c r="AQ113" s="127">
        <f t="shared" si="22"/>
        <v>0</v>
      </c>
      <c r="AR113" s="128">
        <f t="shared" si="9"/>
        <v>0</v>
      </c>
      <c r="AS113" s="102"/>
      <c r="AT113" s="133"/>
      <c r="AU113" s="129" t="str">
        <f t="shared" si="10"/>
        <v>Trống</v>
      </c>
      <c r="AV113" s="130">
        <f t="shared" si="2"/>
        <v>0</v>
      </c>
      <c r="AW113" s="131"/>
      <c r="AX113" s="106"/>
      <c r="AY113" s="102"/>
      <c r="AZ113" s="102"/>
      <c r="BA113" s="102"/>
      <c r="BB113" s="102"/>
      <c r="BC113" s="102"/>
      <c r="BD113" s="102"/>
      <c r="BE113" s="102"/>
      <c r="BF113" s="102"/>
      <c r="BG113" s="102"/>
      <c r="BH113" s="106"/>
      <c r="BI113" s="102"/>
      <c r="BJ113" s="102"/>
      <c r="BK113" s="102"/>
      <c r="BL113" s="102"/>
      <c r="BM113" s="102"/>
      <c r="BN113" s="102"/>
      <c r="BO113" s="132"/>
      <c r="BP113" s="102"/>
      <c r="BQ113" s="132"/>
      <c r="BR113" s="102"/>
      <c r="BS113" s="102"/>
      <c r="BT113" s="102"/>
      <c r="BU113" s="102"/>
      <c r="BV113" s="102"/>
      <c r="BW113" s="102"/>
      <c r="BX113" s="102"/>
      <c r="BY113" s="102"/>
      <c r="BZ113" s="102"/>
      <c r="CA113" s="102"/>
      <c r="CB113" s="102"/>
      <c r="CC113" s="102"/>
    </row>
    <row r="114" spans="1:81" ht="20.25" customHeight="1">
      <c r="A114" s="124"/>
      <c r="B114" s="101"/>
      <c r="C114" s="102"/>
      <c r="D114" s="102"/>
      <c r="E114" s="102"/>
      <c r="F114" s="106"/>
      <c r="G114" s="106"/>
      <c r="H114" s="106"/>
      <c r="I114" s="106"/>
      <c r="J114" s="102">
        <v>30</v>
      </c>
      <c r="K114" s="102">
        <v>30</v>
      </c>
      <c r="L114" s="105"/>
      <c r="M114" s="106"/>
      <c r="N114" s="101"/>
      <c r="O114" s="102"/>
      <c r="P114" s="102"/>
      <c r="Q114" s="102">
        <f t="shared" si="11"/>
        <v>0</v>
      </c>
      <c r="R114" s="102">
        <v>3800</v>
      </c>
      <c r="S114" s="106">
        <f t="shared" si="12"/>
        <v>0</v>
      </c>
      <c r="T114" s="102"/>
      <c r="U114" s="102"/>
      <c r="V114" s="102"/>
      <c r="W114" s="102">
        <v>35000</v>
      </c>
      <c r="X114" s="102">
        <f t="shared" si="5"/>
        <v>0</v>
      </c>
      <c r="Y114" s="102"/>
      <c r="Z114" s="102">
        <v>30000</v>
      </c>
      <c r="AA114" s="102">
        <f t="shared" si="13"/>
        <v>0</v>
      </c>
      <c r="AB114" s="102"/>
      <c r="AC114" s="102">
        <v>100000</v>
      </c>
      <c r="AD114" s="102">
        <f t="shared" si="23"/>
        <v>0</v>
      </c>
      <c r="AE114" s="102"/>
      <c r="AF114" s="102"/>
      <c r="AG114" s="102"/>
      <c r="AH114" s="102"/>
      <c r="AI114" s="102"/>
      <c r="AJ114" s="102"/>
      <c r="AK114" s="102"/>
      <c r="AL114" s="102"/>
      <c r="AM114" s="108">
        <f t="shared" si="20"/>
        <v>0</v>
      </c>
      <c r="AN114" s="102"/>
      <c r="AO114" s="102"/>
      <c r="AP114" s="102">
        <f t="shared" si="24"/>
        <v>0</v>
      </c>
      <c r="AQ114" s="127">
        <f t="shared" si="22"/>
        <v>0</v>
      </c>
      <c r="AR114" s="128">
        <f t="shared" si="9"/>
        <v>0</v>
      </c>
      <c r="AS114" s="102"/>
      <c r="AT114" s="133"/>
      <c r="AU114" s="129" t="str">
        <f t="shared" si="10"/>
        <v>Trống</v>
      </c>
      <c r="AV114" s="130">
        <f t="shared" si="2"/>
        <v>0</v>
      </c>
      <c r="AW114" s="131"/>
      <c r="AX114" s="106"/>
      <c r="AY114" s="102"/>
      <c r="AZ114" s="102"/>
      <c r="BA114" s="102"/>
      <c r="BB114" s="102"/>
      <c r="BC114" s="102"/>
      <c r="BD114" s="102"/>
      <c r="BE114" s="102"/>
      <c r="BF114" s="102"/>
      <c r="BG114" s="102"/>
      <c r="BH114" s="106"/>
      <c r="BI114" s="102"/>
      <c r="BJ114" s="102"/>
      <c r="BK114" s="102"/>
      <c r="BL114" s="102"/>
      <c r="BM114" s="102"/>
      <c r="BN114" s="102"/>
      <c r="BO114" s="132"/>
      <c r="BP114" s="102"/>
      <c r="BQ114" s="132"/>
      <c r="BR114" s="102"/>
      <c r="BS114" s="102"/>
      <c r="BT114" s="102"/>
      <c r="BU114" s="102"/>
      <c r="BV114" s="102"/>
      <c r="BW114" s="102"/>
      <c r="BX114" s="102"/>
      <c r="BY114" s="102"/>
      <c r="BZ114" s="102"/>
      <c r="CA114" s="102"/>
      <c r="CB114" s="102"/>
      <c r="CC114" s="102"/>
    </row>
    <row r="115" spans="1:81" ht="18" customHeight="1">
      <c r="A115" s="124"/>
      <c r="B115" s="101"/>
      <c r="C115" s="102"/>
      <c r="D115" s="102"/>
      <c r="E115" s="102"/>
      <c r="F115" s="106"/>
      <c r="G115" s="106"/>
      <c r="H115" s="106"/>
      <c r="I115" s="106"/>
      <c r="J115" s="102">
        <v>30</v>
      </c>
      <c r="K115" s="102">
        <v>30</v>
      </c>
      <c r="L115" s="105"/>
      <c r="M115" s="106"/>
      <c r="N115" s="101"/>
      <c r="O115" s="102"/>
      <c r="P115" s="102"/>
      <c r="Q115" s="102">
        <f t="shared" si="11"/>
        <v>0</v>
      </c>
      <c r="R115" s="102">
        <v>3800</v>
      </c>
      <c r="S115" s="106">
        <f t="shared" si="12"/>
        <v>0</v>
      </c>
      <c r="T115" s="102"/>
      <c r="U115" s="102"/>
      <c r="V115" s="102"/>
      <c r="W115" s="102">
        <v>35000</v>
      </c>
      <c r="X115" s="102">
        <f t="shared" si="5"/>
        <v>0</v>
      </c>
      <c r="Y115" s="102"/>
      <c r="Z115" s="102">
        <v>30000</v>
      </c>
      <c r="AA115" s="102">
        <f t="shared" si="13"/>
        <v>0</v>
      </c>
      <c r="AB115" s="102"/>
      <c r="AC115" s="102">
        <v>100000</v>
      </c>
      <c r="AD115" s="102">
        <f t="shared" si="23"/>
        <v>0</v>
      </c>
      <c r="AE115" s="102"/>
      <c r="AF115" s="102"/>
      <c r="AG115" s="102"/>
      <c r="AH115" s="102"/>
      <c r="AI115" s="102"/>
      <c r="AJ115" s="102"/>
      <c r="AK115" s="102"/>
      <c r="AL115" s="102"/>
      <c r="AM115" s="108">
        <f t="shared" si="20"/>
        <v>0</v>
      </c>
      <c r="AN115" s="102"/>
      <c r="AO115" s="102"/>
      <c r="AP115" s="102">
        <f t="shared" si="24"/>
        <v>0</v>
      </c>
      <c r="AQ115" s="127">
        <f t="shared" si="22"/>
        <v>0</v>
      </c>
      <c r="AR115" s="128">
        <f t="shared" si="9"/>
        <v>0</v>
      </c>
      <c r="AS115" s="102"/>
      <c r="AT115" s="133"/>
      <c r="AU115" s="129" t="str">
        <f t="shared" si="10"/>
        <v>Trống</v>
      </c>
      <c r="AV115" s="130">
        <f t="shared" si="2"/>
        <v>0</v>
      </c>
      <c r="AW115" s="131"/>
      <c r="AX115" s="106"/>
      <c r="AY115" s="102"/>
      <c r="AZ115" s="102"/>
      <c r="BA115" s="102"/>
      <c r="BB115" s="102"/>
      <c r="BC115" s="102"/>
      <c r="BD115" s="102"/>
      <c r="BE115" s="102"/>
      <c r="BF115" s="102"/>
      <c r="BG115" s="102"/>
      <c r="BH115" s="106"/>
      <c r="BI115" s="102"/>
      <c r="BJ115" s="102"/>
      <c r="BK115" s="102"/>
      <c r="BL115" s="102"/>
      <c r="BM115" s="102"/>
      <c r="BN115" s="102"/>
      <c r="BO115" s="132"/>
      <c r="BP115" s="102"/>
      <c r="BQ115" s="132"/>
      <c r="BR115" s="102"/>
      <c r="BS115" s="102"/>
      <c r="BT115" s="102"/>
      <c r="BU115" s="102"/>
      <c r="BV115" s="102"/>
      <c r="BW115" s="102"/>
      <c r="BX115" s="102"/>
      <c r="BY115" s="102"/>
      <c r="BZ115" s="102"/>
      <c r="CA115" s="102"/>
      <c r="CB115" s="102"/>
      <c r="CC115" s="102"/>
    </row>
    <row r="116" spans="1:81" ht="20.25" customHeight="1">
      <c r="A116" s="124"/>
      <c r="B116" s="101"/>
      <c r="C116" s="102"/>
      <c r="D116" s="102"/>
      <c r="E116" s="102"/>
      <c r="F116" s="106"/>
      <c r="G116" s="106"/>
      <c r="H116" s="106"/>
      <c r="I116" s="106"/>
      <c r="J116" s="102">
        <v>30</v>
      </c>
      <c r="K116" s="102">
        <v>30</v>
      </c>
      <c r="L116" s="105"/>
      <c r="M116" s="106"/>
      <c r="N116" s="101"/>
      <c r="O116" s="102"/>
      <c r="P116" s="102"/>
      <c r="Q116" s="102">
        <f t="shared" si="11"/>
        <v>0</v>
      </c>
      <c r="R116" s="102">
        <v>3800</v>
      </c>
      <c r="S116" s="106">
        <f t="shared" si="12"/>
        <v>0</v>
      </c>
      <c r="T116" s="102"/>
      <c r="U116" s="102"/>
      <c r="V116" s="102"/>
      <c r="W116" s="102">
        <v>30000</v>
      </c>
      <c r="X116" s="102">
        <f t="shared" si="5"/>
        <v>0</v>
      </c>
      <c r="Y116" s="102"/>
      <c r="Z116" s="102">
        <v>30000</v>
      </c>
      <c r="AA116" s="102">
        <f t="shared" si="13"/>
        <v>0</v>
      </c>
      <c r="AB116" s="102"/>
      <c r="AC116" s="102"/>
      <c r="AD116" s="102">
        <f t="shared" si="23"/>
        <v>0</v>
      </c>
      <c r="AE116" s="102"/>
      <c r="AF116" s="102"/>
      <c r="AG116" s="102"/>
      <c r="AH116" s="102"/>
      <c r="AI116" s="102"/>
      <c r="AJ116" s="102"/>
      <c r="AK116" s="102"/>
      <c r="AL116" s="102"/>
      <c r="AM116" s="108">
        <f t="shared" si="20"/>
        <v>0</v>
      </c>
      <c r="AN116" s="102"/>
      <c r="AO116" s="102"/>
      <c r="AP116" s="102">
        <f t="shared" si="24"/>
        <v>0</v>
      </c>
      <c r="AQ116" s="127">
        <f>(SUM(S116,X116,AA116,AD116,AG116,AJ116,AM116,AP116)/31)*26</f>
        <v>0</v>
      </c>
      <c r="AR116" s="128">
        <f t="shared" si="9"/>
        <v>0</v>
      </c>
      <c r="AS116" s="102"/>
      <c r="AT116" s="133"/>
      <c r="AU116" s="129" t="str">
        <f t="shared" si="10"/>
        <v>Trống</v>
      </c>
      <c r="AV116" s="130">
        <f t="shared" si="2"/>
        <v>0</v>
      </c>
      <c r="AW116" s="131"/>
      <c r="AX116" s="106"/>
      <c r="AY116" s="102"/>
      <c r="AZ116" s="102"/>
      <c r="BA116" s="102"/>
      <c r="BB116" s="102"/>
      <c r="BC116" s="102"/>
      <c r="BD116" s="102">
        <v>10801</v>
      </c>
      <c r="BE116" s="102">
        <v>10915</v>
      </c>
      <c r="BF116" s="102">
        <f>BE116-BD116</f>
        <v>114</v>
      </c>
      <c r="BG116" s="102">
        <v>3400</v>
      </c>
      <c r="BH116" s="102">
        <f>BF116*BG116</f>
        <v>387600</v>
      </c>
      <c r="BI116" s="102">
        <v>984</v>
      </c>
      <c r="BJ116" s="102"/>
      <c r="BK116" s="102">
        <f>BJ116-BI116</f>
        <v>-984</v>
      </c>
      <c r="BL116" s="102">
        <v>30000</v>
      </c>
      <c r="BM116" s="102">
        <f>BK116*BL116</f>
        <v>-29520000</v>
      </c>
      <c r="BN116" s="102"/>
      <c r="BO116" s="132"/>
      <c r="BP116" s="102"/>
      <c r="BQ116" s="132"/>
      <c r="BR116" s="102"/>
      <c r="BS116" s="102"/>
      <c r="BT116" s="102"/>
      <c r="BU116" s="102"/>
      <c r="BV116" s="102"/>
      <c r="BW116" s="102"/>
      <c r="BX116" s="102"/>
      <c r="BY116" s="102"/>
      <c r="BZ116" s="102"/>
      <c r="CA116" s="102"/>
      <c r="CB116" s="102"/>
      <c r="CC116" s="102"/>
    </row>
    <row r="117" spans="1:81" ht="17.25" customHeight="1">
      <c r="A117" s="124"/>
      <c r="B117" s="101"/>
      <c r="C117" s="102"/>
      <c r="D117" s="102"/>
      <c r="E117" s="102"/>
      <c r="F117" s="106"/>
      <c r="G117" s="136"/>
      <c r="H117" s="136"/>
      <c r="I117" s="136"/>
      <c r="J117" s="102">
        <v>29</v>
      </c>
      <c r="K117" s="102">
        <v>30</v>
      </c>
      <c r="L117" s="105"/>
      <c r="M117" s="106"/>
      <c r="N117" s="101"/>
      <c r="O117" s="102"/>
      <c r="P117" s="102"/>
      <c r="Q117" s="102">
        <f t="shared" si="11"/>
        <v>0</v>
      </c>
      <c r="R117" s="102">
        <v>3800</v>
      </c>
      <c r="S117" s="106">
        <f t="shared" si="12"/>
        <v>0</v>
      </c>
      <c r="T117" s="102"/>
      <c r="U117" s="102"/>
      <c r="V117" s="102"/>
      <c r="W117" s="102">
        <v>30000</v>
      </c>
      <c r="X117" s="102">
        <f t="shared" si="5"/>
        <v>0</v>
      </c>
      <c r="Y117" s="102"/>
      <c r="Z117" s="102">
        <v>30000</v>
      </c>
      <c r="AA117" s="102">
        <f t="shared" si="13"/>
        <v>0</v>
      </c>
      <c r="AB117" s="102"/>
      <c r="AC117" s="102"/>
      <c r="AD117" s="102">
        <f t="shared" si="23"/>
        <v>0</v>
      </c>
      <c r="AE117" s="102"/>
      <c r="AF117" s="102"/>
      <c r="AG117" s="102"/>
      <c r="AH117" s="102"/>
      <c r="AI117" s="102"/>
      <c r="AJ117" s="102"/>
      <c r="AK117" s="102"/>
      <c r="AL117" s="102"/>
      <c r="AM117" s="108">
        <f t="shared" si="20"/>
        <v>0</v>
      </c>
      <c r="AN117" s="102"/>
      <c r="AO117" s="102"/>
      <c r="AP117" s="102">
        <f t="shared" si="24"/>
        <v>0</v>
      </c>
      <c r="AQ117" s="127">
        <f t="shared" ref="AQ117:AQ127" si="25">SUM(S117,X117,AA117,AD117,AG117,AJ117,AM117,AP117)</f>
        <v>0</v>
      </c>
      <c r="AR117" s="128">
        <f t="shared" si="9"/>
        <v>0</v>
      </c>
      <c r="AS117" s="102"/>
      <c r="AT117" s="133"/>
      <c r="AU117" s="129" t="str">
        <f t="shared" si="10"/>
        <v>Trống</v>
      </c>
      <c r="AV117" s="130">
        <f t="shared" si="2"/>
        <v>0</v>
      </c>
      <c r="AW117" s="131"/>
      <c r="AX117" s="106"/>
      <c r="AY117" s="102"/>
      <c r="AZ117" s="102"/>
      <c r="BA117" s="102"/>
      <c r="BB117" s="102"/>
      <c r="BC117" s="102"/>
      <c r="BD117" s="102">
        <v>12574</v>
      </c>
      <c r="BE117" s="102">
        <v>12874</v>
      </c>
      <c r="BF117" s="102">
        <f>BE117-BD117</f>
        <v>300</v>
      </c>
      <c r="BG117" s="102">
        <v>3400</v>
      </c>
      <c r="BH117" s="102">
        <f>BF117*BG117</f>
        <v>1020000</v>
      </c>
      <c r="BI117" s="102">
        <v>394</v>
      </c>
      <c r="BJ117" s="102">
        <v>398</v>
      </c>
      <c r="BK117" s="102">
        <f>BJ117-BI117</f>
        <v>4</v>
      </c>
      <c r="BL117" s="102">
        <v>30000</v>
      </c>
      <c r="BM117" s="102">
        <f>BK117*BL117</f>
        <v>120000</v>
      </c>
      <c r="BN117" s="102"/>
      <c r="BO117" s="132"/>
      <c r="BP117" s="102"/>
      <c r="BQ117" s="132"/>
      <c r="BR117" s="102"/>
      <c r="BS117" s="102"/>
      <c r="BT117" s="102"/>
      <c r="BU117" s="102"/>
      <c r="BV117" s="102"/>
      <c r="BW117" s="102"/>
      <c r="BX117" s="102"/>
      <c r="BY117" s="102"/>
      <c r="BZ117" s="102"/>
      <c r="CA117" s="102"/>
      <c r="CB117" s="102"/>
      <c r="CC117" s="102"/>
    </row>
    <row r="118" spans="1:81" ht="21.75" customHeight="1">
      <c r="A118" s="124"/>
      <c r="B118" s="101"/>
      <c r="C118" s="102"/>
      <c r="D118" s="102"/>
      <c r="E118" s="102"/>
      <c r="F118" s="106"/>
      <c r="G118" s="106"/>
      <c r="H118" s="106"/>
      <c r="I118" s="106"/>
      <c r="J118" s="102">
        <v>30</v>
      </c>
      <c r="K118" s="102">
        <v>30</v>
      </c>
      <c r="L118" s="105"/>
      <c r="M118" s="106"/>
      <c r="N118" s="101"/>
      <c r="O118" s="102"/>
      <c r="P118" s="102"/>
      <c r="Q118" s="102">
        <f t="shared" si="11"/>
        <v>0</v>
      </c>
      <c r="R118" s="102">
        <v>3800</v>
      </c>
      <c r="S118" s="106">
        <f t="shared" si="12"/>
        <v>0</v>
      </c>
      <c r="T118" s="102"/>
      <c r="U118" s="102"/>
      <c r="V118" s="102"/>
      <c r="W118" s="102">
        <v>35000</v>
      </c>
      <c r="X118" s="102">
        <f t="shared" si="5"/>
        <v>0</v>
      </c>
      <c r="Y118" s="102"/>
      <c r="Z118" s="102">
        <v>30000</v>
      </c>
      <c r="AA118" s="102">
        <f t="shared" si="13"/>
        <v>0</v>
      </c>
      <c r="AB118" s="102"/>
      <c r="AC118" s="102">
        <v>100000</v>
      </c>
      <c r="AD118" s="102">
        <f t="shared" si="23"/>
        <v>0</v>
      </c>
      <c r="AE118" s="102"/>
      <c r="AF118" s="102"/>
      <c r="AG118" s="102"/>
      <c r="AH118" s="102"/>
      <c r="AI118" s="102"/>
      <c r="AJ118" s="102"/>
      <c r="AK118" s="102"/>
      <c r="AL118" s="102"/>
      <c r="AM118" s="108">
        <f t="shared" si="20"/>
        <v>0</v>
      </c>
      <c r="AN118" s="102"/>
      <c r="AO118" s="102"/>
      <c r="AP118" s="102">
        <f t="shared" si="24"/>
        <v>0</v>
      </c>
      <c r="AQ118" s="127">
        <f t="shared" si="25"/>
        <v>0</v>
      </c>
      <c r="AR118" s="128">
        <f t="shared" si="9"/>
        <v>0</v>
      </c>
      <c r="AS118" s="102"/>
      <c r="AT118" s="133"/>
      <c r="AU118" s="129" t="str">
        <f t="shared" si="10"/>
        <v>Trống</v>
      </c>
      <c r="AV118" s="130">
        <f t="shared" si="2"/>
        <v>0</v>
      </c>
      <c r="AW118" s="131"/>
      <c r="AX118" s="106"/>
      <c r="AY118" s="102"/>
      <c r="AZ118" s="102"/>
      <c r="BA118" s="102"/>
      <c r="BB118" s="102"/>
      <c r="BC118" s="102"/>
      <c r="BD118" s="102"/>
      <c r="BE118" s="102"/>
      <c r="BF118" s="102"/>
      <c r="BG118" s="102"/>
      <c r="BH118" s="106"/>
      <c r="BI118" s="102"/>
      <c r="BJ118" s="102"/>
      <c r="BK118" s="102"/>
      <c r="BL118" s="102"/>
      <c r="BM118" s="102"/>
      <c r="BN118" s="102"/>
      <c r="BO118" s="132"/>
      <c r="BP118" s="102"/>
      <c r="BQ118" s="132"/>
      <c r="BR118" s="102"/>
      <c r="BS118" s="102"/>
      <c r="BT118" s="102"/>
      <c r="BU118" s="102"/>
      <c r="BV118" s="102"/>
      <c r="BW118" s="102"/>
      <c r="BX118" s="102"/>
      <c r="BY118" s="102"/>
      <c r="BZ118" s="102"/>
      <c r="CA118" s="102"/>
      <c r="CB118" s="102"/>
      <c r="CC118" s="102"/>
    </row>
    <row r="119" spans="1:81" ht="18" customHeight="1">
      <c r="A119" s="124"/>
      <c r="B119" s="101"/>
      <c r="C119" s="102"/>
      <c r="D119" s="102"/>
      <c r="E119" s="102"/>
      <c r="F119" s="106"/>
      <c r="G119" s="106"/>
      <c r="H119" s="106"/>
      <c r="I119" s="106"/>
      <c r="J119" s="102">
        <v>30</v>
      </c>
      <c r="K119" s="102">
        <v>30</v>
      </c>
      <c r="L119" s="105"/>
      <c r="M119" s="106"/>
      <c r="N119" s="101"/>
      <c r="O119" s="102"/>
      <c r="P119" s="102"/>
      <c r="Q119" s="102">
        <f t="shared" si="11"/>
        <v>0</v>
      </c>
      <c r="R119" s="102">
        <v>3800</v>
      </c>
      <c r="S119" s="106">
        <f t="shared" si="12"/>
        <v>0</v>
      </c>
      <c r="T119" s="102"/>
      <c r="U119" s="102"/>
      <c r="V119" s="102"/>
      <c r="W119" s="102">
        <v>35000</v>
      </c>
      <c r="X119" s="102">
        <f t="shared" si="5"/>
        <v>0</v>
      </c>
      <c r="Y119" s="102"/>
      <c r="Z119" s="102">
        <v>30000</v>
      </c>
      <c r="AA119" s="102">
        <f t="shared" si="13"/>
        <v>0</v>
      </c>
      <c r="AB119" s="102"/>
      <c r="AC119" s="102">
        <v>100000</v>
      </c>
      <c r="AD119" s="102">
        <f t="shared" si="23"/>
        <v>0</v>
      </c>
      <c r="AE119" s="102"/>
      <c r="AF119" s="102"/>
      <c r="AG119" s="102"/>
      <c r="AH119" s="102"/>
      <c r="AI119" s="102"/>
      <c r="AJ119" s="102"/>
      <c r="AK119" s="102"/>
      <c r="AL119" s="102"/>
      <c r="AM119" s="108">
        <f t="shared" si="20"/>
        <v>0</v>
      </c>
      <c r="AN119" s="102"/>
      <c r="AO119" s="102"/>
      <c r="AP119" s="102">
        <f t="shared" si="24"/>
        <v>0</v>
      </c>
      <c r="AQ119" s="127">
        <f t="shared" si="25"/>
        <v>0</v>
      </c>
      <c r="AR119" s="128">
        <f t="shared" si="9"/>
        <v>0</v>
      </c>
      <c r="AS119" s="102"/>
      <c r="AT119" s="133"/>
      <c r="AU119" s="129" t="str">
        <f t="shared" si="10"/>
        <v>Trống</v>
      </c>
      <c r="AV119" s="130">
        <f t="shared" si="2"/>
        <v>0</v>
      </c>
      <c r="AW119" s="131"/>
      <c r="AX119" s="106"/>
      <c r="AY119" s="102"/>
      <c r="AZ119" s="102"/>
      <c r="BA119" s="102"/>
      <c r="BB119" s="102"/>
      <c r="BC119" s="102"/>
      <c r="BD119" s="102"/>
      <c r="BE119" s="102"/>
      <c r="BF119" s="102"/>
      <c r="BG119" s="102"/>
      <c r="BH119" s="106"/>
      <c r="BI119" s="102"/>
      <c r="BJ119" s="102"/>
      <c r="BK119" s="102"/>
      <c r="BL119" s="102"/>
      <c r="BM119" s="102"/>
      <c r="BN119" s="102"/>
      <c r="BO119" s="132"/>
      <c r="BP119" s="102"/>
      <c r="BQ119" s="132"/>
      <c r="BR119" s="102"/>
      <c r="BS119" s="102"/>
      <c r="BT119" s="102"/>
      <c r="BU119" s="102"/>
      <c r="BV119" s="102"/>
      <c r="BW119" s="102"/>
      <c r="BX119" s="102"/>
      <c r="BY119" s="102"/>
      <c r="BZ119" s="102"/>
      <c r="CA119" s="102"/>
      <c r="CB119" s="102"/>
      <c r="CC119" s="102"/>
    </row>
    <row r="120" spans="1:81" ht="18" customHeight="1">
      <c r="A120" s="124"/>
      <c r="B120" s="101"/>
      <c r="C120" s="102"/>
      <c r="D120" s="102"/>
      <c r="E120" s="102"/>
      <c r="F120" s="106"/>
      <c r="G120" s="136"/>
      <c r="H120" s="106"/>
      <c r="I120" s="106"/>
      <c r="J120" s="102">
        <v>30</v>
      </c>
      <c r="K120" s="102">
        <v>30</v>
      </c>
      <c r="L120" s="105"/>
      <c r="M120" s="106"/>
      <c r="N120" s="101"/>
      <c r="O120" s="102"/>
      <c r="P120" s="102"/>
      <c r="Q120" s="102">
        <f t="shared" si="11"/>
        <v>0</v>
      </c>
      <c r="R120" s="102">
        <v>3800</v>
      </c>
      <c r="S120" s="106">
        <f t="shared" si="12"/>
        <v>0</v>
      </c>
      <c r="T120" s="102"/>
      <c r="U120" s="102"/>
      <c r="V120" s="102"/>
      <c r="W120" s="102">
        <v>35000</v>
      </c>
      <c r="X120" s="102">
        <f t="shared" si="5"/>
        <v>0</v>
      </c>
      <c r="Y120" s="102"/>
      <c r="Z120" s="102">
        <v>30000</v>
      </c>
      <c r="AA120" s="102">
        <f t="shared" si="13"/>
        <v>0</v>
      </c>
      <c r="AB120" s="102"/>
      <c r="AC120" s="102">
        <v>100000</v>
      </c>
      <c r="AD120" s="102">
        <f t="shared" si="23"/>
        <v>0</v>
      </c>
      <c r="AE120" s="102"/>
      <c r="AF120" s="102"/>
      <c r="AG120" s="102"/>
      <c r="AH120" s="102"/>
      <c r="AI120" s="102"/>
      <c r="AJ120" s="102"/>
      <c r="AK120" s="102"/>
      <c r="AL120" s="102"/>
      <c r="AM120" s="108">
        <f t="shared" si="20"/>
        <v>0</v>
      </c>
      <c r="AN120" s="102"/>
      <c r="AO120" s="102"/>
      <c r="AP120" s="102">
        <f t="shared" si="24"/>
        <v>0</v>
      </c>
      <c r="AQ120" s="127">
        <f t="shared" si="25"/>
        <v>0</v>
      </c>
      <c r="AR120" s="128">
        <f t="shared" si="9"/>
        <v>0</v>
      </c>
      <c r="AS120" s="102"/>
      <c r="AT120" s="133"/>
      <c r="AU120" s="129" t="str">
        <f t="shared" si="10"/>
        <v>Trống</v>
      </c>
      <c r="AV120" s="130">
        <f t="shared" si="2"/>
        <v>0</v>
      </c>
      <c r="AW120" s="131"/>
      <c r="AX120" s="106"/>
      <c r="AY120" s="102"/>
      <c r="AZ120" s="102"/>
      <c r="BA120" s="102"/>
      <c r="BB120" s="102"/>
      <c r="BC120" s="102"/>
      <c r="BD120" s="102"/>
      <c r="BE120" s="102"/>
      <c r="BF120" s="102"/>
      <c r="BG120" s="102"/>
      <c r="BH120" s="106"/>
      <c r="BI120" s="102"/>
      <c r="BJ120" s="102"/>
      <c r="BK120" s="102"/>
      <c r="BL120" s="102"/>
      <c r="BM120" s="102"/>
      <c r="BN120" s="102"/>
      <c r="BO120" s="132"/>
      <c r="BP120" s="102"/>
      <c r="BQ120" s="132"/>
      <c r="BR120" s="102"/>
      <c r="BS120" s="102"/>
      <c r="BT120" s="102"/>
      <c r="BU120" s="102"/>
      <c r="BV120" s="102"/>
      <c r="BW120" s="102"/>
      <c r="BX120" s="102"/>
      <c r="BY120" s="102"/>
      <c r="BZ120" s="102"/>
      <c r="CA120" s="102"/>
      <c r="CB120" s="102"/>
      <c r="CC120" s="102"/>
    </row>
    <row r="121" spans="1:81" ht="18.75" customHeight="1">
      <c r="A121" s="124"/>
      <c r="B121" s="101"/>
      <c r="C121" s="102"/>
      <c r="D121" s="102"/>
      <c r="E121" s="102"/>
      <c r="F121" s="106"/>
      <c r="G121" s="136"/>
      <c r="H121" s="106"/>
      <c r="I121" s="106"/>
      <c r="J121" s="102">
        <v>30</v>
      </c>
      <c r="K121" s="102">
        <v>30</v>
      </c>
      <c r="L121" s="105"/>
      <c r="M121" s="106"/>
      <c r="N121" s="101"/>
      <c r="O121" s="102"/>
      <c r="P121" s="102"/>
      <c r="Q121" s="102">
        <f t="shared" si="11"/>
        <v>0</v>
      </c>
      <c r="R121" s="102">
        <v>3800</v>
      </c>
      <c r="S121" s="106">
        <f t="shared" si="12"/>
        <v>0</v>
      </c>
      <c r="T121" s="102"/>
      <c r="U121" s="102"/>
      <c r="V121" s="102"/>
      <c r="W121" s="102">
        <v>35000</v>
      </c>
      <c r="X121" s="102">
        <f t="shared" si="5"/>
        <v>0</v>
      </c>
      <c r="Y121" s="102"/>
      <c r="Z121" s="102">
        <v>30000</v>
      </c>
      <c r="AA121" s="102">
        <f t="shared" si="13"/>
        <v>0</v>
      </c>
      <c r="AB121" s="102"/>
      <c r="AC121" s="102">
        <v>100000</v>
      </c>
      <c r="AD121" s="102">
        <f t="shared" si="23"/>
        <v>0</v>
      </c>
      <c r="AE121" s="102"/>
      <c r="AF121" s="102"/>
      <c r="AG121" s="102"/>
      <c r="AH121" s="102"/>
      <c r="AI121" s="102"/>
      <c r="AJ121" s="102"/>
      <c r="AK121" s="102"/>
      <c r="AL121" s="102"/>
      <c r="AM121" s="108">
        <f t="shared" si="20"/>
        <v>0</v>
      </c>
      <c r="AN121" s="102"/>
      <c r="AO121" s="102"/>
      <c r="AP121" s="102">
        <f t="shared" si="24"/>
        <v>0</v>
      </c>
      <c r="AQ121" s="127">
        <f t="shared" si="25"/>
        <v>0</v>
      </c>
      <c r="AR121" s="128">
        <f t="shared" si="9"/>
        <v>0</v>
      </c>
      <c r="AS121" s="102"/>
      <c r="AT121" s="133"/>
      <c r="AU121" s="129" t="str">
        <f t="shared" si="10"/>
        <v>Trống</v>
      </c>
      <c r="AV121" s="130">
        <f t="shared" si="2"/>
        <v>0</v>
      </c>
      <c r="AW121" s="131"/>
      <c r="AX121" s="106"/>
      <c r="AY121" s="102"/>
      <c r="AZ121" s="102"/>
      <c r="BA121" s="102"/>
      <c r="BB121" s="102"/>
      <c r="BC121" s="102"/>
      <c r="BD121" s="102"/>
      <c r="BE121" s="102"/>
      <c r="BF121" s="102"/>
      <c r="BG121" s="102"/>
      <c r="BH121" s="106"/>
      <c r="BI121" s="102"/>
      <c r="BJ121" s="102"/>
      <c r="BK121" s="102"/>
      <c r="BL121" s="102"/>
      <c r="BM121" s="102"/>
      <c r="BN121" s="102"/>
      <c r="BO121" s="132"/>
      <c r="BP121" s="102"/>
      <c r="BQ121" s="132"/>
      <c r="BR121" s="102"/>
      <c r="BS121" s="102"/>
      <c r="BT121" s="102"/>
      <c r="BU121" s="102"/>
      <c r="BV121" s="102"/>
      <c r="BW121" s="102"/>
      <c r="BX121" s="102"/>
      <c r="BY121" s="102"/>
      <c r="BZ121" s="102"/>
      <c r="CA121" s="102"/>
      <c r="CB121" s="102"/>
      <c r="CC121" s="102"/>
    </row>
    <row r="122" spans="1:81" ht="24" customHeight="1">
      <c r="A122" s="124"/>
      <c r="B122" s="101"/>
      <c r="C122" s="102"/>
      <c r="D122" s="102"/>
      <c r="E122" s="102"/>
      <c r="F122" s="106"/>
      <c r="G122" s="106"/>
      <c r="H122" s="106"/>
      <c r="I122" s="106"/>
      <c r="J122" s="102">
        <v>30</v>
      </c>
      <c r="K122" s="102">
        <v>30</v>
      </c>
      <c r="L122" s="105"/>
      <c r="M122" s="106"/>
      <c r="N122" s="101"/>
      <c r="O122" s="102"/>
      <c r="P122" s="102"/>
      <c r="Q122" s="102">
        <f t="shared" si="11"/>
        <v>0</v>
      </c>
      <c r="R122" s="102">
        <v>3400</v>
      </c>
      <c r="S122" s="106">
        <f t="shared" si="12"/>
        <v>0</v>
      </c>
      <c r="T122" s="102"/>
      <c r="U122" s="102"/>
      <c r="V122" s="102"/>
      <c r="W122" s="102">
        <v>30000</v>
      </c>
      <c r="X122" s="102">
        <f t="shared" si="5"/>
        <v>0</v>
      </c>
      <c r="Y122" s="102"/>
      <c r="Z122" s="102">
        <v>30000</v>
      </c>
      <c r="AA122" s="102">
        <f t="shared" si="13"/>
        <v>0</v>
      </c>
      <c r="AB122" s="102"/>
      <c r="AC122" s="102">
        <v>100000</v>
      </c>
      <c r="AD122" s="102">
        <f t="shared" si="23"/>
        <v>0</v>
      </c>
      <c r="AE122" s="102"/>
      <c r="AF122" s="102"/>
      <c r="AG122" s="102"/>
      <c r="AH122" s="102"/>
      <c r="AI122" s="102"/>
      <c r="AJ122" s="102"/>
      <c r="AK122" s="102"/>
      <c r="AL122" s="102"/>
      <c r="AM122" s="108">
        <f t="shared" si="20"/>
        <v>0</v>
      </c>
      <c r="AN122" s="102"/>
      <c r="AO122" s="102"/>
      <c r="AP122" s="102">
        <f t="shared" si="24"/>
        <v>0</v>
      </c>
      <c r="AQ122" s="127">
        <f t="shared" si="25"/>
        <v>0</v>
      </c>
      <c r="AR122" s="128">
        <f t="shared" si="9"/>
        <v>0</v>
      </c>
      <c r="AS122" s="102"/>
      <c r="AT122" s="133"/>
      <c r="AU122" s="129" t="str">
        <f t="shared" si="10"/>
        <v>Trống</v>
      </c>
      <c r="AV122" s="130">
        <f t="shared" si="2"/>
        <v>0</v>
      </c>
      <c r="AW122" s="131"/>
      <c r="AX122" s="106"/>
      <c r="AY122" s="102"/>
      <c r="AZ122" s="102"/>
      <c r="BA122" s="102"/>
      <c r="BB122" s="102"/>
      <c r="BC122" s="102"/>
      <c r="BD122" s="102">
        <v>16946</v>
      </c>
      <c r="BE122" s="102">
        <v>17094</v>
      </c>
      <c r="BF122" s="102">
        <f>BE122-BD122</f>
        <v>148</v>
      </c>
      <c r="BG122" s="102">
        <v>3400</v>
      </c>
      <c r="BH122" s="106">
        <f>BF122*BG122</f>
        <v>503200</v>
      </c>
      <c r="BI122" s="102"/>
      <c r="BJ122" s="102"/>
      <c r="BK122" s="102"/>
      <c r="BL122" s="102"/>
      <c r="BM122" s="102"/>
      <c r="BN122" s="102"/>
      <c r="BO122" s="132"/>
      <c r="BP122" s="102"/>
      <c r="BQ122" s="132"/>
      <c r="BR122" s="102"/>
      <c r="BS122" s="102"/>
      <c r="BT122" s="102"/>
      <c r="BU122" s="102"/>
      <c r="BV122" s="102"/>
      <c r="BW122" s="102"/>
      <c r="BX122" s="102"/>
      <c r="BY122" s="102"/>
      <c r="BZ122" s="102"/>
      <c r="CA122" s="102"/>
      <c r="CB122" s="102"/>
      <c r="CC122" s="102"/>
    </row>
    <row r="123" spans="1:81" ht="18" customHeight="1">
      <c r="A123" s="124"/>
      <c r="B123" s="101"/>
      <c r="C123" s="102"/>
      <c r="D123" s="102"/>
      <c r="E123" s="102"/>
      <c r="F123" s="106"/>
      <c r="G123" s="106"/>
      <c r="H123" s="106"/>
      <c r="I123" s="106"/>
      <c r="J123" s="102">
        <v>30</v>
      </c>
      <c r="K123" s="102">
        <v>30</v>
      </c>
      <c r="L123" s="105"/>
      <c r="M123" s="106"/>
      <c r="N123" s="101"/>
      <c r="O123" s="102"/>
      <c r="P123" s="102"/>
      <c r="Q123" s="102">
        <f t="shared" si="11"/>
        <v>0</v>
      </c>
      <c r="R123" s="102">
        <v>3800</v>
      </c>
      <c r="S123" s="106">
        <f t="shared" si="12"/>
        <v>0</v>
      </c>
      <c r="T123" s="102"/>
      <c r="U123" s="102"/>
      <c r="V123" s="102"/>
      <c r="W123" s="102">
        <v>35000</v>
      </c>
      <c r="X123" s="102">
        <f t="shared" si="5"/>
        <v>0</v>
      </c>
      <c r="Y123" s="102"/>
      <c r="Z123" s="102">
        <v>30000</v>
      </c>
      <c r="AA123" s="102">
        <f t="shared" si="13"/>
        <v>0</v>
      </c>
      <c r="AB123" s="102"/>
      <c r="AC123" s="102">
        <v>100000</v>
      </c>
      <c r="AD123" s="102">
        <f t="shared" si="23"/>
        <v>0</v>
      </c>
      <c r="AE123" s="102"/>
      <c r="AF123" s="102"/>
      <c r="AG123" s="102"/>
      <c r="AH123" s="102"/>
      <c r="AI123" s="102"/>
      <c r="AJ123" s="102"/>
      <c r="AK123" s="102"/>
      <c r="AL123" s="102"/>
      <c r="AM123" s="108">
        <f t="shared" si="20"/>
        <v>0</v>
      </c>
      <c r="AN123" s="102"/>
      <c r="AO123" s="102"/>
      <c r="AP123" s="102">
        <f t="shared" si="24"/>
        <v>0</v>
      </c>
      <c r="AQ123" s="127">
        <f t="shared" si="25"/>
        <v>0</v>
      </c>
      <c r="AR123" s="128">
        <f t="shared" si="9"/>
        <v>0</v>
      </c>
      <c r="AS123" s="102"/>
      <c r="AT123" s="133"/>
      <c r="AU123" s="129" t="str">
        <f t="shared" si="10"/>
        <v>Trống</v>
      </c>
      <c r="AV123" s="130">
        <f t="shared" si="2"/>
        <v>0</v>
      </c>
      <c r="AW123" s="131"/>
      <c r="AX123" s="106"/>
      <c r="AY123" s="102"/>
      <c r="AZ123" s="102"/>
      <c r="BA123" s="102"/>
      <c r="BB123" s="102"/>
      <c r="BC123" s="102"/>
      <c r="BD123" s="102"/>
      <c r="BE123" s="102"/>
      <c r="BF123" s="102"/>
      <c r="BG123" s="102"/>
      <c r="BH123" s="106"/>
      <c r="BI123" s="102"/>
      <c r="BJ123" s="102"/>
      <c r="BK123" s="102"/>
      <c r="BL123" s="102"/>
      <c r="BM123" s="102"/>
      <c r="BN123" s="102"/>
      <c r="BO123" s="102"/>
      <c r="BP123" s="102"/>
      <c r="BQ123" s="132"/>
      <c r="BR123" s="102"/>
      <c r="BS123" s="102"/>
      <c r="BT123" s="102"/>
      <c r="BU123" s="102"/>
      <c r="BV123" s="102"/>
      <c r="BW123" s="102"/>
      <c r="BX123" s="102"/>
      <c r="BY123" s="102"/>
      <c r="BZ123" s="102"/>
      <c r="CA123" s="102"/>
      <c r="CB123" s="102"/>
      <c r="CC123" s="102"/>
    </row>
    <row r="124" spans="1:81" ht="24" customHeight="1">
      <c r="A124" s="124"/>
      <c r="B124" s="101"/>
      <c r="C124" s="102"/>
      <c r="D124" s="102"/>
      <c r="E124" s="102"/>
      <c r="F124" s="106"/>
      <c r="G124" s="106"/>
      <c r="H124" s="106"/>
      <c r="I124" s="106"/>
      <c r="J124" s="102">
        <v>30</v>
      </c>
      <c r="K124" s="102">
        <v>30</v>
      </c>
      <c r="L124" s="105"/>
      <c r="M124" s="106"/>
      <c r="N124" s="101"/>
      <c r="O124" s="102"/>
      <c r="P124" s="102"/>
      <c r="Q124" s="102">
        <f t="shared" si="11"/>
        <v>0</v>
      </c>
      <c r="R124" s="102">
        <v>3800</v>
      </c>
      <c r="S124" s="106">
        <f t="shared" si="12"/>
        <v>0</v>
      </c>
      <c r="T124" s="102"/>
      <c r="U124" s="102"/>
      <c r="V124" s="102"/>
      <c r="W124" s="102">
        <v>100000</v>
      </c>
      <c r="X124" s="102">
        <f t="shared" si="5"/>
        <v>0</v>
      </c>
      <c r="Y124" s="102"/>
      <c r="Z124" s="102">
        <v>30000</v>
      </c>
      <c r="AA124" s="102">
        <f t="shared" si="13"/>
        <v>0</v>
      </c>
      <c r="AB124" s="102"/>
      <c r="AC124" s="102">
        <v>100000</v>
      </c>
      <c r="AD124" s="102">
        <f t="shared" si="23"/>
        <v>0</v>
      </c>
      <c r="AE124" s="102"/>
      <c r="AF124" s="102"/>
      <c r="AG124" s="102"/>
      <c r="AH124" s="102"/>
      <c r="AI124" s="102"/>
      <c r="AJ124" s="102"/>
      <c r="AK124" s="102"/>
      <c r="AL124" s="102"/>
      <c r="AM124" s="108">
        <f t="shared" si="20"/>
        <v>0</v>
      </c>
      <c r="AN124" s="102"/>
      <c r="AO124" s="102"/>
      <c r="AP124" s="102">
        <f t="shared" si="24"/>
        <v>0</v>
      </c>
      <c r="AQ124" s="127">
        <f t="shared" si="25"/>
        <v>0</v>
      </c>
      <c r="AR124" s="128">
        <f t="shared" si="9"/>
        <v>0</v>
      </c>
      <c r="AS124" s="102"/>
      <c r="AT124" s="133"/>
      <c r="AU124" s="129" t="str">
        <f t="shared" si="10"/>
        <v>Trống</v>
      </c>
      <c r="AV124" s="130">
        <f t="shared" si="2"/>
        <v>0</v>
      </c>
      <c r="AW124" s="131"/>
      <c r="AX124" s="106"/>
      <c r="AY124" s="102"/>
      <c r="AZ124" s="102"/>
      <c r="BA124" s="102"/>
      <c r="BB124" s="102"/>
      <c r="BC124" s="102"/>
      <c r="BD124" s="102"/>
      <c r="BE124" s="102"/>
      <c r="BF124" s="102"/>
      <c r="BG124" s="102"/>
      <c r="BH124" s="106"/>
      <c r="BI124" s="102"/>
      <c r="BJ124" s="102"/>
      <c r="BK124" s="102"/>
      <c r="BL124" s="102"/>
      <c r="BM124" s="102"/>
      <c r="BN124" s="102"/>
      <c r="BO124" s="132"/>
      <c r="BP124" s="102"/>
      <c r="BQ124" s="132"/>
      <c r="BR124" s="102"/>
      <c r="BS124" s="102"/>
      <c r="BT124" s="102"/>
      <c r="BU124" s="102"/>
      <c r="BV124" s="102"/>
      <c r="BW124" s="102"/>
      <c r="BX124" s="102"/>
      <c r="BY124" s="102"/>
      <c r="BZ124" s="102"/>
      <c r="CA124" s="102"/>
      <c r="CB124" s="102"/>
      <c r="CC124" s="102"/>
    </row>
    <row r="125" spans="1:81" ht="19.5" customHeight="1">
      <c r="A125" s="124"/>
      <c r="B125" s="101"/>
      <c r="C125" s="102"/>
      <c r="D125" s="102"/>
      <c r="E125" s="102"/>
      <c r="F125" s="106"/>
      <c r="G125" s="106"/>
      <c r="H125" s="106"/>
      <c r="I125" s="106"/>
      <c r="J125" s="102">
        <v>30</v>
      </c>
      <c r="K125" s="102">
        <v>30</v>
      </c>
      <c r="L125" s="105"/>
      <c r="M125" s="106"/>
      <c r="N125" s="101"/>
      <c r="O125" s="102"/>
      <c r="P125" s="102"/>
      <c r="Q125" s="102">
        <f t="shared" si="11"/>
        <v>0</v>
      </c>
      <c r="R125" s="102">
        <v>3800</v>
      </c>
      <c r="S125" s="106">
        <f t="shared" si="12"/>
        <v>0</v>
      </c>
      <c r="T125" s="102"/>
      <c r="U125" s="102"/>
      <c r="V125" s="102"/>
      <c r="W125" s="102">
        <v>35000</v>
      </c>
      <c r="X125" s="102">
        <f t="shared" si="5"/>
        <v>0</v>
      </c>
      <c r="Y125" s="102"/>
      <c r="Z125" s="102">
        <v>30000</v>
      </c>
      <c r="AA125" s="102">
        <f t="shared" si="13"/>
        <v>0</v>
      </c>
      <c r="AB125" s="102"/>
      <c r="AC125" s="102">
        <v>100000</v>
      </c>
      <c r="AD125" s="102">
        <f t="shared" si="23"/>
        <v>0</v>
      </c>
      <c r="AE125" s="102"/>
      <c r="AF125" s="102"/>
      <c r="AG125" s="102"/>
      <c r="AH125" s="102"/>
      <c r="AI125" s="102"/>
      <c r="AJ125" s="102"/>
      <c r="AK125" s="102"/>
      <c r="AL125" s="102">
        <v>60000</v>
      </c>
      <c r="AM125" s="108">
        <f t="shared" si="20"/>
        <v>0</v>
      </c>
      <c r="AN125" s="102"/>
      <c r="AO125" s="102"/>
      <c r="AP125" s="102">
        <f t="shared" si="24"/>
        <v>0</v>
      </c>
      <c r="AQ125" s="127">
        <f t="shared" si="25"/>
        <v>0</v>
      </c>
      <c r="AR125" s="128">
        <f t="shared" si="9"/>
        <v>0</v>
      </c>
      <c r="AS125" s="102"/>
      <c r="AT125" s="133"/>
      <c r="AU125" s="129" t="str">
        <f t="shared" si="10"/>
        <v>Trống</v>
      </c>
      <c r="AV125" s="130">
        <f t="shared" si="2"/>
        <v>0</v>
      </c>
      <c r="AW125" s="131"/>
      <c r="AX125" s="106"/>
      <c r="AY125" s="102"/>
      <c r="AZ125" s="102"/>
      <c r="BA125" s="102"/>
      <c r="BB125" s="102"/>
      <c r="BC125" s="102"/>
      <c r="BD125" s="102"/>
      <c r="BE125" s="102"/>
      <c r="BF125" s="102"/>
      <c r="BG125" s="102"/>
      <c r="BH125" s="106"/>
      <c r="BI125" s="102"/>
      <c r="BJ125" s="102"/>
      <c r="BK125" s="102"/>
      <c r="BL125" s="102"/>
      <c r="BM125" s="102"/>
      <c r="BN125" s="102"/>
      <c r="BO125" s="132">
        <v>3500000</v>
      </c>
      <c r="BP125" s="102"/>
      <c r="BQ125" s="132"/>
      <c r="BR125" s="102"/>
      <c r="BS125" s="102" t="s">
        <v>162</v>
      </c>
      <c r="BT125" s="102"/>
      <c r="BU125" s="102"/>
      <c r="BV125" s="102"/>
      <c r="BW125" s="102"/>
      <c r="BX125" s="102"/>
      <c r="BY125" s="102"/>
      <c r="BZ125" s="102"/>
      <c r="CA125" s="102"/>
      <c r="CB125" s="102"/>
      <c r="CC125" s="102"/>
    </row>
    <row r="126" spans="1:81" ht="21" customHeight="1">
      <c r="A126" s="124"/>
      <c r="B126" s="101"/>
      <c r="C126" s="102"/>
      <c r="D126" s="102"/>
      <c r="E126" s="102"/>
      <c r="F126" s="106"/>
      <c r="G126" s="106"/>
      <c r="H126" s="106"/>
      <c r="I126" s="106"/>
      <c r="J126" s="102">
        <v>30</v>
      </c>
      <c r="K126" s="102">
        <v>30</v>
      </c>
      <c r="L126" s="105"/>
      <c r="M126" s="106"/>
      <c r="N126" s="101"/>
      <c r="O126" s="102"/>
      <c r="P126" s="102"/>
      <c r="Q126" s="102">
        <f t="shared" si="11"/>
        <v>0</v>
      </c>
      <c r="R126" s="102">
        <v>3400</v>
      </c>
      <c r="S126" s="106">
        <f t="shared" si="12"/>
        <v>0</v>
      </c>
      <c r="T126" s="102"/>
      <c r="U126" s="102"/>
      <c r="V126" s="102"/>
      <c r="W126" s="102">
        <v>35000</v>
      </c>
      <c r="X126" s="102">
        <f t="shared" si="5"/>
        <v>0</v>
      </c>
      <c r="Y126" s="102"/>
      <c r="Z126" s="102">
        <v>30000</v>
      </c>
      <c r="AA126" s="102">
        <f t="shared" si="13"/>
        <v>0</v>
      </c>
      <c r="AB126" s="102"/>
      <c r="AC126" s="102"/>
      <c r="AD126" s="102">
        <f t="shared" si="23"/>
        <v>0</v>
      </c>
      <c r="AE126" s="102"/>
      <c r="AF126" s="102"/>
      <c r="AG126" s="102"/>
      <c r="AH126" s="102"/>
      <c r="AI126" s="102"/>
      <c r="AJ126" s="102"/>
      <c r="AK126" s="102"/>
      <c r="AL126" s="102"/>
      <c r="AM126" s="108">
        <f t="shared" si="20"/>
        <v>0</v>
      </c>
      <c r="AN126" s="102"/>
      <c r="AO126" s="102"/>
      <c r="AP126" s="102">
        <f t="shared" si="24"/>
        <v>0</v>
      </c>
      <c r="AQ126" s="127">
        <f t="shared" si="25"/>
        <v>0</v>
      </c>
      <c r="AR126" s="128">
        <f t="shared" si="9"/>
        <v>0</v>
      </c>
      <c r="AS126" s="102"/>
      <c r="AT126" s="133"/>
      <c r="AU126" s="129" t="str">
        <f t="shared" si="10"/>
        <v>Trống</v>
      </c>
      <c r="AV126" s="130">
        <f t="shared" si="2"/>
        <v>0</v>
      </c>
      <c r="AW126" s="131"/>
      <c r="AX126" s="106"/>
      <c r="AY126" s="102"/>
      <c r="AZ126" s="102"/>
      <c r="BA126" s="102"/>
      <c r="BB126" s="102"/>
      <c r="BC126" s="102"/>
      <c r="BD126" s="102">
        <v>13159</v>
      </c>
      <c r="BE126" s="102">
        <v>13314</v>
      </c>
      <c r="BF126" s="102">
        <f>BE126-BD126</f>
        <v>155</v>
      </c>
      <c r="BG126" s="102">
        <v>3400</v>
      </c>
      <c r="BH126" s="106">
        <f>BF126*BG126</f>
        <v>527000</v>
      </c>
      <c r="BI126" s="102"/>
      <c r="BJ126" s="102"/>
      <c r="BK126" s="102"/>
      <c r="BL126" s="102"/>
      <c r="BM126" s="102"/>
      <c r="BN126" s="102"/>
      <c r="BO126" s="132"/>
      <c r="BP126" s="102"/>
      <c r="BQ126" s="132"/>
      <c r="BR126" s="102"/>
      <c r="BS126" s="102"/>
      <c r="BT126" s="102"/>
      <c r="BU126" s="102"/>
      <c r="BV126" s="102"/>
      <c r="BW126" s="102"/>
      <c r="BX126" s="102"/>
      <c r="BY126" s="102"/>
      <c r="BZ126" s="102"/>
      <c r="CA126" s="102"/>
      <c r="CB126" s="102"/>
      <c r="CC126" s="102"/>
    </row>
    <row r="127" spans="1:81" ht="20.25" customHeight="1">
      <c r="A127" s="124"/>
      <c r="B127" s="101"/>
      <c r="C127" s="102"/>
      <c r="D127" s="102"/>
      <c r="E127" s="102"/>
      <c r="F127" s="106"/>
      <c r="G127" s="106"/>
      <c r="H127" s="106"/>
      <c r="I127" s="106"/>
      <c r="J127" s="102"/>
      <c r="K127" s="102"/>
      <c r="L127" s="105"/>
      <c r="M127" s="106"/>
      <c r="N127" s="101"/>
      <c r="O127" s="102"/>
      <c r="P127" s="102"/>
      <c r="Q127" s="102"/>
      <c r="R127" s="102"/>
      <c r="S127" s="106"/>
      <c r="T127" s="102"/>
      <c r="U127" s="102"/>
      <c r="V127" s="102"/>
      <c r="W127" s="102"/>
      <c r="X127" s="102"/>
      <c r="Y127" s="102"/>
      <c r="Z127" s="102">
        <v>30000</v>
      </c>
      <c r="AA127" s="102">
        <f t="shared" si="13"/>
        <v>0</v>
      </c>
      <c r="AB127" s="102"/>
      <c r="AC127" s="102">
        <v>100000</v>
      </c>
      <c r="AD127" s="102">
        <f t="shared" si="23"/>
        <v>0</v>
      </c>
      <c r="AE127" s="102"/>
      <c r="AF127" s="102"/>
      <c r="AG127" s="102"/>
      <c r="AH127" s="102"/>
      <c r="AI127" s="102"/>
      <c r="AJ127" s="102"/>
      <c r="AK127" s="102"/>
      <c r="AL127" s="102">
        <v>60000</v>
      </c>
      <c r="AM127" s="108">
        <f t="shared" si="20"/>
        <v>0</v>
      </c>
      <c r="AN127" s="102"/>
      <c r="AO127" s="102"/>
      <c r="AP127" s="102"/>
      <c r="AQ127" s="127">
        <f t="shared" si="25"/>
        <v>0</v>
      </c>
      <c r="AR127" s="128">
        <f t="shared" si="9"/>
        <v>0</v>
      </c>
      <c r="AS127" s="102"/>
      <c r="AT127" s="133"/>
      <c r="AU127" s="129"/>
      <c r="AV127" s="130"/>
      <c r="AW127" s="131"/>
      <c r="AX127" s="106"/>
      <c r="AY127" s="102"/>
      <c r="AZ127" s="102"/>
      <c r="BA127" s="102"/>
      <c r="BB127" s="102"/>
      <c r="BC127" s="102"/>
      <c r="BD127" s="102"/>
      <c r="BE127" s="102"/>
      <c r="BF127" s="102"/>
      <c r="BG127" s="102"/>
      <c r="BH127" s="106"/>
      <c r="BI127" s="102"/>
      <c r="BJ127" s="102"/>
      <c r="BK127" s="102"/>
      <c r="BL127" s="102"/>
      <c r="BM127" s="102"/>
      <c r="BN127" s="102"/>
      <c r="BO127" s="132"/>
      <c r="BP127" s="102"/>
      <c r="BQ127" s="132"/>
      <c r="BR127" s="102"/>
      <c r="BS127" s="102"/>
      <c r="BT127" s="102"/>
      <c r="BU127" s="102"/>
      <c r="BV127" s="102"/>
      <c r="BW127" s="102"/>
      <c r="BX127" s="102"/>
      <c r="BY127" s="102"/>
      <c r="BZ127" s="102"/>
      <c r="CA127" s="102"/>
      <c r="CB127" s="102"/>
      <c r="CC127" s="102"/>
    </row>
    <row r="128" spans="1:81" ht="20.25" customHeight="1">
      <c r="A128" s="124"/>
      <c r="B128" s="101"/>
      <c r="C128" s="102"/>
      <c r="D128" s="102"/>
      <c r="E128" s="102"/>
      <c r="F128" s="106"/>
      <c r="G128" s="106"/>
      <c r="H128" s="106"/>
      <c r="I128" s="106"/>
      <c r="J128" s="102">
        <v>30</v>
      </c>
      <c r="K128" s="102">
        <v>30</v>
      </c>
      <c r="L128" s="105"/>
      <c r="M128" s="106"/>
      <c r="N128" s="101"/>
      <c r="O128" s="102"/>
      <c r="P128" s="102"/>
      <c r="Q128" s="102">
        <f t="shared" ref="Q128:Q144" si="26">P128-O128</f>
        <v>0</v>
      </c>
      <c r="R128" s="102">
        <v>3800</v>
      </c>
      <c r="S128" s="106">
        <f t="shared" ref="S128:S144" si="27">Q128*R128</f>
        <v>0</v>
      </c>
      <c r="T128" s="102"/>
      <c r="U128" s="102"/>
      <c r="V128" s="102"/>
      <c r="W128" s="102">
        <v>30000</v>
      </c>
      <c r="X128" s="102">
        <f>V128*W128</f>
        <v>0</v>
      </c>
      <c r="Y128" s="102"/>
      <c r="Z128" s="102">
        <v>30000</v>
      </c>
      <c r="AA128" s="102">
        <f t="shared" si="13"/>
        <v>0</v>
      </c>
      <c r="AB128" s="102"/>
      <c r="AC128" s="102">
        <v>100000</v>
      </c>
      <c r="AD128" s="102">
        <f t="shared" si="23"/>
        <v>0</v>
      </c>
      <c r="AE128" s="102"/>
      <c r="AF128" s="102">
        <v>40000</v>
      </c>
      <c r="AG128" s="102">
        <f t="shared" ref="AG128:AG144" si="28">AE128*AF128</f>
        <v>0</v>
      </c>
      <c r="AH128" s="102"/>
      <c r="AI128" s="102"/>
      <c r="AJ128" s="102"/>
      <c r="AK128" s="102"/>
      <c r="AL128" s="102">
        <v>60000</v>
      </c>
      <c r="AM128" s="108">
        <f t="shared" si="20"/>
        <v>0</v>
      </c>
      <c r="AN128" s="102"/>
      <c r="AO128" s="102"/>
      <c r="AP128" s="102"/>
      <c r="AQ128" s="127">
        <f>(SUM(S128,X128,AA128,AD128,AG128,AJ128,AM128,AP128)/31)*27</f>
        <v>0</v>
      </c>
      <c r="AR128" s="128">
        <f t="shared" si="9"/>
        <v>0</v>
      </c>
      <c r="AS128" s="102"/>
      <c r="AT128" s="133"/>
      <c r="AU128" s="129" t="str">
        <f t="shared" ref="AU128:AU144" si="29">IF(AND(AR128&gt;0,AT128=0),"Chưa TT",IF(AT128-AR128&gt;0,"Thừa",IF(AND(AR128=0,AT128=0),"Trống",IF(AND(AT128&gt;0,AR128=0),"Đóng cọc",IF(AT128-AR128&lt;0,"Thiếu",IF(AT128-AR128=0,"Đủ",0))))))</f>
        <v>Trống</v>
      </c>
      <c r="AV128" s="130">
        <f t="shared" ref="AV128:AV144" si="30">AT128-AR128</f>
        <v>0</v>
      </c>
      <c r="AW128" s="131"/>
      <c r="AX128" s="106"/>
      <c r="AY128" s="102"/>
      <c r="AZ128" s="102"/>
      <c r="BA128" s="102"/>
      <c r="BB128" s="102"/>
      <c r="BC128" s="102"/>
      <c r="BD128" s="102"/>
      <c r="BE128" s="102"/>
      <c r="BF128" s="102"/>
      <c r="BG128" s="102"/>
      <c r="BH128" s="106"/>
      <c r="BI128" s="102"/>
      <c r="BJ128" s="102"/>
      <c r="BK128" s="102"/>
      <c r="BL128" s="102"/>
      <c r="BM128" s="102"/>
      <c r="BN128" s="102"/>
      <c r="BO128" s="132"/>
      <c r="BP128" s="102"/>
      <c r="BQ128" s="132"/>
      <c r="BR128" s="102"/>
      <c r="BS128" s="102"/>
      <c r="BT128" s="102"/>
      <c r="BU128" s="102"/>
      <c r="BV128" s="102"/>
      <c r="BW128" s="102"/>
      <c r="BX128" s="102"/>
      <c r="BY128" s="102"/>
      <c r="BZ128" s="102"/>
      <c r="CA128" s="102"/>
      <c r="CB128" s="102"/>
      <c r="CC128" s="102"/>
    </row>
    <row r="129" spans="1:81" ht="20.25" customHeight="1">
      <c r="A129" s="124"/>
      <c r="B129" s="101"/>
      <c r="C129" s="102"/>
      <c r="D129" s="102"/>
      <c r="E129" s="102"/>
      <c r="F129" s="106"/>
      <c r="G129" s="106"/>
      <c r="H129" s="106"/>
      <c r="I129" s="106"/>
      <c r="J129" s="102">
        <v>30</v>
      </c>
      <c r="K129" s="102">
        <v>30</v>
      </c>
      <c r="L129" s="105"/>
      <c r="M129" s="106"/>
      <c r="N129" s="101"/>
      <c r="O129" s="102"/>
      <c r="P129" s="102"/>
      <c r="Q129" s="102">
        <f t="shared" si="26"/>
        <v>0</v>
      </c>
      <c r="R129" s="102">
        <v>3800</v>
      </c>
      <c r="S129" s="106">
        <f t="shared" si="27"/>
        <v>0</v>
      </c>
      <c r="T129" s="102"/>
      <c r="U129" s="102"/>
      <c r="V129" s="102"/>
      <c r="W129" s="102">
        <v>30000</v>
      </c>
      <c r="X129" s="102"/>
      <c r="Y129" s="102"/>
      <c r="Z129" s="102">
        <v>30000</v>
      </c>
      <c r="AA129" s="102">
        <f t="shared" si="13"/>
        <v>0</v>
      </c>
      <c r="AB129" s="102"/>
      <c r="AC129" s="102">
        <v>100000</v>
      </c>
      <c r="AD129" s="102">
        <f t="shared" si="23"/>
        <v>0</v>
      </c>
      <c r="AE129" s="102"/>
      <c r="AF129" s="102">
        <v>40000</v>
      </c>
      <c r="AG129" s="102">
        <f t="shared" si="28"/>
        <v>0</v>
      </c>
      <c r="AH129" s="102"/>
      <c r="AI129" s="102"/>
      <c r="AJ129" s="102"/>
      <c r="AK129" s="102"/>
      <c r="AL129" s="102">
        <v>60000</v>
      </c>
      <c r="AM129" s="108">
        <f t="shared" ref="AM129:AM144" si="31">AK129*AL129</f>
        <v>0</v>
      </c>
      <c r="AN129" s="102"/>
      <c r="AO129" s="102"/>
      <c r="AP129" s="102"/>
      <c r="AQ129" s="127">
        <f>(SUM(S129,X129,AA129,AD129,AG129,AJ129,AM129,AP129)/30)*23</f>
        <v>0</v>
      </c>
      <c r="AR129" s="128">
        <f t="shared" si="9"/>
        <v>0</v>
      </c>
      <c r="AS129" s="102"/>
      <c r="AT129" s="133"/>
      <c r="AU129" s="129" t="str">
        <f t="shared" si="29"/>
        <v>Trống</v>
      </c>
      <c r="AV129" s="130">
        <f t="shared" si="30"/>
        <v>0</v>
      </c>
      <c r="AW129" s="131"/>
      <c r="AX129" s="106"/>
      <c r="AY129" s="102"/>
      <c r="AZ129" s="102"/>
      <c r="BA129" s="102"/>
      <c r="BB129" s="102"/>
      <c r="BC129" s="102"/>
      <c r="BD129" s="102"/>
      <c r="BE129" s="102"/>
      <c r="BF129" s="102"/>
      <c r="BG129" s="102"/>
      <c r="BH129" s="106"/>
      <c r="BI129" s="102"/>
      <c r="BJ129" s="102"/>
      <c r="BK129" s="102"/>
      <c r="BL129" s="102"/>
      <c r="BM129" s="102"/>
      <c r="BN129" s="102"/>
      <c r="BO129" s="132"/>
      <c r="BP129" s="102"/>
      <c r="BQ129" s="132"/>
      <c r="BR129" s="102"/>
      <c r="BS129" s="102"/>
      <c r="BT129" s="102"/>
      <c r="BU129" s="102"/>
      <c r="BV129" s="102"/>
      <c r="BW129" s="102"/>
      <c r="BX129" s="102"/>
      <c r="BY129" s="102"/>
      <c r="BZ129" s="102"/>
      <c r="CA129" s="102"/>
      <c r="CB129" s="102"/>
      <c r="CC129" s="102"/>
    </row>
    <row r="130" spans="1:81" ht="21" customHeight="1">
      <c r="A130" s="124"/>
      <c r="B130" s="101"/>
      <c r="C130" s="102"/>
      <c r="D130" s="102"/>
      <c r="E130" s="102"/>
      <c r="F130" s="106"/>
      <c r="G130" s="106"/>
      <c r="H130" s="106"/>
      <c r="I130" s="106"/>
      <c r="J130" s="102">
        <v>30</v>
      </c>
      <c r="K130" s="102">
        <v>30</v>
      </c>
      <c r="L130" s="105"/>
      <c r="M130" s="106"/>
      <c r="N130" s="101"/>
      <c r="O130" s="102"/>
      <c r="P130" s="102"/>
      <c r="Q130" s="102">
        <f t="shared" si="26"/>
        <v>0</v>
      </c>
      <c r="R130" s="102">
        <v>3800</v>
      </c>
      <c r="S130" s="106">
        <f t="shared" si="27"/>
        <v>0</v>
      </c>
      <c r="T130" s="102"/>
      <c r="U130" s="102"/>
      <c r="V130" s="102"/>
      <c r="W130" s="102">
        <v>30000</v>
      </c>
      <c r="X130" s="102"/>
      <c r="Y130" s="102"/>
      <c r="Z130" s="102">
        <v>30000</v>
      </c>
      <c r="AA130" s="102">
        <f t="shared" si="13"/>
        <v>0</v>
      </c>
      <c r="AB130" s="102"/>
      <c r="AC130" s="102">
        <v>100000</v>
      </c>
      <c r="AD130" s="102">
        <f t="shared" si="23"/>
        <v>0</v>
      </c>
      <c r="AE130" s="102"/>
      <c r="AF130" s="102">
        <v>40000</v>
      </c>
      <c r="AG130" s="102">
        <f t="shared" si="28"/>
        <v>0</v>
      </c>
      <c r="AH130" s="102"/>
      <c r="AI130" s="102"/>
      <c r="AJ130" s="102"/>
      <c r="AK130" s="102"/>
      <c r="AL130" s="102">
        <v>60000</v>
      </c>
      <c r="AM130" s="108">
        <f t="shared" si="31"/>
        <v>0</v>
      </c>
      <c r="AN130" s="102"/>
      <c r="AO130" s="102"/>
      <c r="AP130" s="102"/>
      <c r="AQ130" s="127">
        <f>SUM(S130,X130,AA130,AD130,AG130,AJ130,AM130,AP130)</f>
        <v>0</v>
      </c>
      <c r="AR130" s="128">
        <f t="shared" si="9"/>
        <v>0</v>
      </c>
      <c r="AS130" s="102"/>
      <c r="AT130" s="133"/>
      <c r="AU130" s="129" t="str">
        <f t="shared" si="29"/>
        <v>Trống</v>
      </c>
      <c r="AV130" s="130">
        <f t="shared" si="30"/>
        <v>0</v>
      </c>
      <c r="AW130" s="131"/>
      <c r="AX130" s="106"/>
      <c r="AY130" s="102"/>
      <c r="AZ130" s="102"/>
      <c r="BA130" s="102"/>
      <c r="BB130" s="102"/>
      <c r="BC130" s="102"/>
      <c r="BD130" s="102"/>
      <c r="BE130" s="102"/>
      <c r="BF130" s="102"/>
      <c r="BG130" s="102"/>
      <c r="BH130" s="106"/>
      <c r="BI130" s="102"/>
      <c r="BJ130" s="102"/>
      <c r="BK130" s="102"/>
      <c r="BL130" s="102"/>
      <c r="BM130" s="102"/>
      <c r="BN130" s="102"/>
      <c r="BO130" s="132"/>
      <c r="BP130" s="102"/>
      <c r="BQ130" s="132"/>
      <c r="BR130" s="102"/>
      <c r="BS130" s="102"/>
      <c r="BT130" s="102"/>
      <c r="BU130" s="102"/>
      <c r="BV130" s="102"/>
      <c r="BW130" s="102"/>
      <c r="BX130" s="102"/>
      <c r="BY130" s="102"/>
      <c r="BZ130" s="102"/>
      <c r="CA130" s="102"/>
      <c r="CB130" s="102"/>
      <c r="CC130" s="102"/>
    </row>
    <row r="131" spans="1:81" ht="18" customHeight="1">
      <c r="A131" s="124"/>
      <c r="B131" s="101"/>
      <c r="C131" s="102"/>
      <c r="D131" s="102"/>
      <c r="E131" s="102"/>
      <c r="F131" s="106"/>
      <c r="G131" s="106"/>
      <c r="H131" s="106"/>
      <c r="I131" s="106"/>
      <c r="J131" s="102">
        <v>30</v>
      </c>
      <c r="K131" s="102">
        <v>30</v>
      </c>
      <c r="L131" s="105"/>
      <c r="M131" s="106"/>
      <c r="N131" s="101"/>
      <c r="O131" s="102"/>
      <c r="P131" s="102"/>
      <c r="Q131" s="102">
        <f t="shared" si="26"/>
        <v>0</v>
      </c>
      <c r="R131" s="102">
        <v>3800</v>
      </c>
      <c r="S131" s="106">
        <f t="shared" si="27"/>
        <v>0</v>
      </c>
      <c r="T131" s="102"/>
      <c r="U131" s="102"/>
      <c r="V131" s="102"/>
      <c r="W131" s="102">
        <v>30000</v>
      </c>
      <c r="X131" s="102"/>
      <c r="Y131" s="102"/>
      <c r="Z131" s="102">
        <v>30000</v>
      </c>
      <c r="AA131" s="102">
        <f t="shared" si="13"/>
        <v>0</v>
      </c>
      <c r="AB131" s="102"/>
      <c r="AC131" s="102">
        <v>100000</v>
      </c>
      <c r="AD131" s="102">
        <f t="shared" si="23"/>
        <v>0</v>
      </c>
      <c r="AE131" s="102"/>
      <c r="AF131" s="102">
        <v>40000</v>
      </c>
      <c r="AG131" s="102">
        <f t="shared" si="28"/>
        <v>0</v>
      </c>
      <c r="AH131" s="102"/>
      <c r="AI131" s="102"/>
      <c r="AJ131" s="102"/>
      <c r="AK131" s="102"/>
      <c r="AL131" s="102">
        <v>60000</v>
      </c>
      <c r="AM131" s="108">
        <f t="shared" si="31"/>
        <v>0</v>
      </c>
      <c r="AN131" s="102"/>
      <c r="AO131" s="102"/>
      <c r="AP131" s="102"/>
      <c r="AQ131" s="127">
        <f>(SUM(S131,X131,AA131,AD131,AG131,AJ131,AM131,AP131)/30)*23</f>
        <v>0</v>
      </c>
      <c r="AR131" s="128">
        <f t="shared" si="9"/>
        <v>0</v>
      </c>
      <c r="AS131" s="102"/>
      <c r="AT131" s="133"/>
      <c r="AU131" s="129" t="str">
        <f t="shared" si="29"/>
        <v>Trống</v>
      </c>
      <c r="AV131" s="130">
        <f t="shared" si="30"/>
        <v>0</v>
      </c>
      <c r="AW131" s="131"/>
      <c r="AX131" s="106"/>
      <c r="AY131" s="102"/>
      <c r="AZ131" s="102"/>
      <c r="BA131" s="102"/>
      <c r="BB131" s="102"/>
      <c r="BC131" s="102"/>
      <c r="BD131" s="102"/>
      <c r="BE131" s="102"/>
      <c r="BF131" s="102"/>
      <c r="BG131" s="102"/>
      <c r="BH131" s="106"/>
      <c r="BI131" s="102"/>
      <c r="BJ131" s="102"/>
      <c r="BK131" s="102"/>
      <c r="BL131" s="102"/>
      <c r="BM131" s="102"/>
      <c r="BN131" s="102"/>
      <c r="BO131" s="132"/>
      <c r="BP131" s="102"/>
      <c r="BQ131" s="132"/>
      <c r="BR131" s="102"/>
      <c r="BS131" s="102"/>
      <c r="BT131" s="102"/>
      <c r="BU131" s="102"/>
      <c r="BV131" s="102"/>
      <c r="BW131" s="102"/>
      <c r="BX131" s="102"/>
      <c r="BY131" s="102"/>
      <c r="BZ131" s="102"/>
      <c r="CA131" s="102"/>
      <c r="CB131" s="102"/>
      <c r="CC131" s="102"/>
    </row>
    <row r="132" spans="1:81" ht="18" customHeight="1">
      <c r="A132" s="124"/>
      <c r="B132" s="101"/>
      <c r="C132" s="102"/>
      <c r="D132" s="102"/>
      <c r="E132" s="102"/>
      <c r="F132" s="106"/>
      <c r="G132" s="106"/>
      <c r="H132" s="106"/>
      <c r="I132" s="106"/>
      <c r="J132" s="102">
        <v>30</v>
      </c>
      <c r="K132" s="102">
        <v>30</v>
      </c>
      <c r="L132" s="105"/>
      <c r="M132" s="106"/>
      <c r="N132" s="101"/>
      <c r="O132" s="102"/>
      <c r="P132" s="102"/>
      <c r="Q132" s="102">
        <f t="shared" si="26"/>
        <v>0</v>
      </c>
      <c r="R132" s="102">
        <v>3800</v>
      </c>
      <c r="S132" s="106">
        <f t="shared" si="27"/>
        <v>0</v>
      </c>
      <c r="T132" s="102"/>
      <c r="U132" s="102"/>
      <c r="V132" s="102"/>
      <c r="W132" s="102">
        <v>30000</v>
      </c>
      <c r="X132" s="102"/>
      <c r="Y132" s="102"/>
      <c r="Z132" s="102">
        <v>30000</v>
      </c>
      <c r="AA132" s="102">
        <f t="shared" si="13"/>
        <v>0</v>
      </c>
      <c r="AB132" s="102"/>
      <c r="AC132" s="102">
        <v>100000</v>
      </c>
      <c r="AD132" s="102">
        <f t="shared" si="23"/>
        <v>0</v>
      </c>
      <c r="AE132" s="102"/>
      <c r="AF132" s="102">
        <v>40000</v>
      </c>
      <c r="AG132" s="102">
        <f t="shared" si="28"/>
        <v>0</v>
      </c>
      <c r="AH132" s="102"/>
      <c r="AI132" s="102"/>
      <c r="AJ132" s="102"/>
      <c r="AK132" s="102"/>
      <c r="AL132" s="102">
        <v>60000</v>
      </c>
      <c r="AM132" s="108">
        <f t="shared" si="31"/>
        <v>0</v>
      </c>
      <c r="AN132" s="102"/>
      <c r="AO132" s="102"/>
      <c r="AP132" s="102"/>
      <c r="AQ132" s="127">
        <f>SUM(S132,X132,AA132,AD132,AG132,AJ132,AM132,AP132)</f>
        <v>0</v>
      </c>
      <c r="AR132" s="128">
        <f t="shared" si="9"/>
        <v>0</v>
      </c>
      <c r="AS132" s="102"/>
      <c r="AT132" s="133"/>
      <c r="AU132" s="129" t="str">
        <f t="shared" si="29"/>
        <v>Trống</v>
      </c>
      <c r="AV132" s="130">
        <f t="shared" si="30"/>
        <v>0</v>
      </c>
      <c r="AW132" s="131"/>
      <c r="AX132" s="106"/>
      <c r="AY132" s="102"/>
      <c r="AZ132" s="102"/>
      <c r="BA132" s="102"/>
      <c r="BB132" s="102"/>
      <c r="BC132" s="102"/>
      <c r="BD132" s="102"/>
      <c r="BE132" s="102"/>
      <c r="BF132" s="102"/>
      <c r="BG132" s="102"/>
      <c r="BH132" s="106"/>
      <c r="BI132" s="102"/>
      <c r="BJ132" s="102"/>
      <c r="BK132" s="102"/>
      <c r="BL132" s="102"/>
      <c r="BM132" s="102"/>
      <c r="BN132" s="102"/>
      <c r="BO132" s="132"/>
      <c r="BP132" s="102"/>
      <c r="BQ132" s="132"/>
      <c r="BR132" s="102"/>
      <c r="BS132" s="102"/>
      <c r="BT132" s="102"/>
      <c r="BU132" s="102"/>
      <c r="BV132" s="102"/>
      <c r="BW132" s="102"/>
      <c r="BX132" s="102"/>
      <c r="BY132" s="102"/>
      <c r="BZ132" s="102"/>
      <c r="CA132" s="102"/>
      <c r="CB132" s="102"/>
      <c r="CC132" s="102"/>
    </row>
    <row r="133" spans="1:81" ht="15" customHeight="1">
      <c r="A133" s="124"/>
      <c r="B133" s="101"/>
      <c r="C133" s="102"/>
      <c r="D133" s="102"/>
      <c r="E133" s="102"/>
      <c r="F133" s="106"/>
      <c r="G133" s="106"/>
      <c r="H133" s="106"/>
      <c r="I133" s="106"/>
      <c r="J133" s="102">
        <v>30</v>
      </c>
      <c r="K133" s="102">
        <v>30</v>
      </c>
      <c r="L133" s="105"/>
      <c r="M133" s="106"/>
      <c r="N133" s="101"/>
      <c r="O133" s="102"/>
      <c r="P133" s="102"/>
      <c r="Q133" s="102">
        <f t="shared" si="26"/>
        <v>0</v>
      </c>
      <c r="R133" s="102">
        <v>3800</v>
      </c>
      <c r="S133" s="106">
        <f t="shared" si="27"/>
        <v>0</v>
      </c>
      <c r="T133" s="102"/>
      <c r="U133" s="102"/>
      <c r="V133" s="102"/>
      <c r="W133" s="102">
        <v>30000</v>
      </c>
      <c r="X133" s="102"/>
      <c r="Y133" s="102"/>
      <c r="Z133" s="102">
        <v>30000</v>
      </c>
      <c r="AA133" s="102">
        <f t="shared" si="13"/>
        <v>0</v>
      </c>
      <c r="AB133" s="102"/>
      <c r="AC133" s="102">
        <v>100000</v>
      </c>
      <c r="AD133" s="102">
        <f t="shared" si="23"/>
        <v>0</v>
      </c>
      <c r="AE133" s="102"/>
      <c r="AF133" s="102">
        <v>40000</v>
      </c>
      <c r="AG133" s="102">
        <f t="shared" si="28"/>
        <v>0</v>
      </c>
      <c r="AH133" s="102"/>
      <c r="AI133" s="102"/>
      <c r="AJ133" s="102"/>
      <c r="AK133" s="102"/>
      <c r="AL133" s="102">
        <v>60000</v>
      </c>
      <c r="AM133" s="108">
        <f t="shared" si="31"/>
        <v>0</v>
      </c>
      <c r="AN133" s="102"/>
      <c r="AO133" s="102"/>
      <c r="AP133" s="102"/>
      <c r="AQ133" s="127">
        <f>SUM(S133,X133,AA133,AD133,AG133,AJ133,AM133,AP133)</f>
        <v>0</v>
      </c>
      <c r="AR133" s="128">
        <f t="shared" si="9"/>
        <v>0</v>
      </c>
      <c r="AS133" s="102"/>
      <c r="AT133" s="133"/>
      <c r="AU133" s="129" t="str">
        <f t="shared" si="29"/>
        <v>Trống</v>
      </c>
      <c r="AV133" s="130">
        <f t="shared" si="30"/>
        <v>0</v>
      </c>
      <c r="AW133" s="131"/>
      <c r="AX133" s="106"/>
      <c r="AY133" s="102"/>
      <c r="AZ133" s="102"/>
      <c r="BA133" s="102"/>
      <c r="BB133" s="102"/>
      <c r="BC133" s="102"/>
      <c r="BD133" s="102"/>
      <c r="BE133" s="102"/>
      <c r="BF133" s="102"/>
      <c r="BG133" s="102"/>
      <c r="BH133" s="106"/>
      <c r="BI133" s="102"/>
      <c r="BJ133" s="102"/>
      <c r="BK133" s="102"/>
      <c r="BL133" s="102"/>
      <c r="BM133" s="102"/>
      <c r="BN133" s="102"/>
      <c r="BO133" s="132"/>
      <c r="BP133" s="102"/>
      <c r="BQ133" s="132"/>
      <c r="BR133" s="102"/>
      <c r="BS133" s="102"/>
      <c r="BT133" s="102"/>
      <c r="BU133" s="102"/>
      <c r="BV133" s="102"/>
      <c r="BW133" s="102"/>
      <c r="BX133" s="102"/>
      <c r="BY133" s="102"/>
      <c r="BZ133" s="102"/>
      <c r="CA133" s="102"/>
      <c r="CB133" s="102"/>
      <c r="CC133" s="102"/>
    </row>
    <row r="134" spans="1:81" ht="17.25" customHeight="1">
      <c r="A134" s="124"/>
      <c r="B134" s="101"/>
      <c r="C134" s="102"/>
      <c r="D134" s="102"/>
      <c r="E134" s="102"/>
      <c r="F134" s="106"/>
      <c r="G134" s="106"/>
      <c r="H134" s="106"/>
      <c r="I134" s="106"/>
      <c r="J134" s="102">
        <v>30</v>
      </c>
      <c r="K134" s="102">
        <v>30</v>
      </c>
      <c r="L134" s="105"/>
      <c r="M134" s="106"/>
      <c r="N134" s="101"/>
      <c r="O134" s="102"/>
      <c r="P134" s="102"/>
      <c r="Q134" s="102">
        <f t="shared" si="26"/>
        <v>0</v>
      </c>
      <c r="R134" s="102">
        <v>3800</v>
      </c>
      <c r="S134" s="106">
        <f t="shared" si="27"/>
        <v>0</v>
      </c>
      <c r="T134" s="102"/>
      <c r="U134" s="102"/>
      <c r="V134" s="102"/>
      <c r="W134" s="102">
        <v>30000</v>
      </c>
      <c r="X134" s="102"/>
      <c r="Y134" s="102"/>
      <c r="Z134" s="102">
        <v>30000</v>
      </c>
      <c r="AA134" s="102">
        <f t="shared" si="13"/>
        <v>0</v>
      </c>
      <c r="AB134" s="102"/>
      <c r="AC134" s="102">
        <v>100000</v>
      </c>
      <c r="AD134" s="102">
        <f t="shared" si="23"/>
        <v>0</v>
      </c>
      <c r="AE134" s="102"/>
      <c r="AF134" s="102">
        <v>40000</v>
      </c>
      <c r="AG134" s="102">
        <f t="shared" si="28"/>
        <v>0</v>
      </c>
      <c r="AH134" s="102"/>
      <c r="AI134" s="102"/>
      <c r="AJ134" s="102"/>
      <c r="AK134" s="102"/>
      <c r="AL134" s="102">
        <v>60000</v>
      </c>
      <c r="AM134" s="108">
        <f t="shared" si="31"/>
        <v>0</v>
      </c>
      <c r="AN134" s="102"/>
      <c r="AO134" s="102"/>
      <c r="AP134" s="102"/>
      <c r="AQ134" s="127">
        <f>SUM(S134,X134,AA134,AD134,AG134,AJ134,AM134,AP134)</f>
        <v>0</v>
      </c>
      <c r="AR134" s="128">
        <f t="shared" si="9"/>
        <v>0</v>
      </c>
      <c r="AS134" s="102"/>
      <c r="AT134" s="133"/>
      <c r="AU134" s="129" t="str">
        <f t="shared" si="29"/>
        <v>Trống</v>
      </c>
      <c r="AV134" s="130">
        <f t="shared" si="30"/>
        <v>0</v>
      </c>
      <c r="AW134" s="131"/>
      <c r="AX134" s="106"/>
      <c r="AY134" s="102"/>
      <c r="AZ134" s="102"/>
      <c r="BA134" s="102"/>
      <c r="BB134" s="102"/>
      <c r="BC134" s="102"/>
      <c r="BD134" s="102"/>
      <c r="BE134" s="102"/>
      <c r="BF134" s="102"/>
      <c r="BG134" s="102"/>
      <c r="BH134" s="106"/>
      <c r="BI134" s="102"/>
      <c r="BJ134" s="102"/>
      <c r="BK134" s="102"/>
      <c r="BL134" s="102"/>
      <c r="BM134" s="102"/>
      <c r="BN134" s="102"/>
      <c r="BO134" s="132"/>
      <c r="BP134" s="102"/>
      <c r="BQ134" s="132"/>
      <c r="BR134" s="102"/>
      <c r="BS134" s="102"/>
      <c r="BT134" s="102"/>
      <c r="BU134" s="102"/>
      <c r="BV134" s="102"/>
      <c r="BW134" s="102"/>
      <c r="BX134" s="102"/>
      <c r="BY134" s="102"/>
      <c r="BZ134" s="102"/>
      <c r="CA134" s="102"/>
      <c r="CB134" s="102"/>
      <c r="CC134" s="102"/>
    </row>
    <row r="135" spans="1:81" ht="16.5" customHeight="1">
      <c r="A135" s="124"/>
      <c r="B135" s="101"/>
      <c r="C135" s="102"/>
      <c r="D135" s="102"/>
      <c r="E135" s="102"/>
      <c r="F135" s="106"/>
      <c r="G135" s="106"/>
      <c r="H135" s="106"/>
      <c r="I135" s="106"/>
      <c r="J135" s="102">
        <v>30</v>
      </c>
      <c r="K135" s="102">
        <v>30</v>
      </c>
      <c r="L135" s="105"/>
      <c r="M135" s="106"/>
      <c r="N135" s="101"/>
      <c r="O135" s="102"/>
      <c r="P135" s="102"/>
      <c r="Q135" s="102">
        <f t="shared" si="26"/>
        <v>0</v>
      </c>
      <c r="R135" s="102">
        <v>3800</v>
      </c>
      <c r="S135" s="106">
        <f t="shared" si="27"/>
        <v>0</v>
      </c>
      <c r="T135" s="102"/>
      <c r="U135" s="102"/>
      <c r="V135" s="102"/>
      <c r="W135" s="102">
        <v>30000</v>
      </c>
      <c r="X135" s="102"/>
      <c r="Y135" s="102"/>
      <c r="Z135" s="102">
        <v>30000</v>
      </c>
      <c r="AA135" s="102">
        <f t="shared" si="13"/>
        <v>0</v>
      </c>
      <c r="AB135" s="102"/>
      <c r="AC135" s="102">
        <v>100000</v>
      </c>
      <c r="AD135" s="102">
        <f t="shared" si="23"/>
        <v>0</v>
      </c>
      <c r="AE135" s="102"/>
      <c r="AF135" s="102">
        <v>40000</v>
      </c>
      <c r="AG135" s="102">
        <f t="shared" si="28"/>
        <v>0</v>
      </c>
      <c r="AH135" s="102"/>
      <c r="AI135" s="102"/>
      <c r="AJ135" s="102"/>
      <c r="AK135" s="102"/>
      <c r="AL135" s="102">
        <v>60000</v>
      </c>
      <c r="AM135" s="108">
        <f t="shared" si="31"/>
        <v>0</v>
      </c>
      <c r="AN135" s="102"/>
      <c r="AO135" s="102"/>
      <c r="AP135" s="102"/>
      <c r="AQ135" s="127">
        <f>(SUM(S135,X135,AA135,AD135,AG135,AJ135,AM135,AP135)/31)*17</f>
        <v>0</v>
      </c>
      <c r="AR135" s="128">
        <f t="shared" si="9"/>
        <v>0</v>
      </c>
      <c r="AS135" s="102"/>
      <c r="AT135" s="133"/>
      <c r="AU135" s="129" t="str">
        <f t="shared" si="29"/>
        <v>Trống</v>
      </c>
      <c r="AV135" s="130">
        <f t="shared" si="30"/>
        <v>0</v>
      </c>
      <c r="AW135" s="131"/>
      <c r="AX135" s="106"/>
      <c r="AY135" s="102"/>
      <c r="AZ135" s="102"/>
      <c r="BA135" s="102"/>
      <c r="BB135" s="102"/>
      <c r="BC135" s="102"/>
      <c r="BD135" s="102"/>
      <c r="BE135" s="102"/>
      <c r="BF135" s="102"/>
      <c r="BG135" s="102"/>
      <c r="BH135" s="106"/>
      <c r="BI135" s="102"/>
      <c r="BJ135" s="102"/>
      <c r="BK135" s="102"/>
      <c r="BL135" s="102"/>
      <c r="BM135" s="102"/>
      <c r="BN135" s="102"/>
      <c r="BO135" s="132"/>
      <c r="BP135" s="102"/>
      <c r="BQ135" s="132"/>
      <c r="BR135" s="102"/>
      <c r="BS135" s="102"/>
      <c r="BT135" s="102"/>
      <c r="BU135" s="102"/>
      <c r="BV135" s="102"/>
      <c r="BW135" s="102"/>
      <c r="BX135" s="102"/>
      <c r="BY135" s="102"/>
      <c r="BZ135" s="102"/>
      <c r="CA135" s="102"/>
      <c r="CB135" s="102"/>
      <c r="CC135" s="102"/>
    </row>
    <row r="136" spans="1:81" ht="16.5" customHeight="1">
      <c r="A136" s="124"/>
      <c r="B136" s="101"/>
      <c r="C136" s="102"/>
      <c r="D136" s="102"/>
      <c r="E136" s="102"/>
      <c r="F136" s="106"/>
      <c r="G136" s="106"/>
      <c r="H136" s="106"/>
      <c r="I136" s="106"/>
      <c r="J136" s="102">
        <v>30</v>
      </c>
      <c r="K136" s="102">
        <v>30</v>
      </c>
      <c r="L136" s="105"/>
      <c r="M136" s="106"/>
      <c r="N136" s="101"/>
      <c r="O136" s="102"/>
      <c r="P136" s="102"/>
      <c r="Q136" s="102">
        <f t="shared" si="26"/>
        <v>0</v>
      </c>
      <c r="R136" s="102">
        <v>3800</v>
      </c>
      <c r="S136" s="106">
        <f t="shared" si="27"/>
        <v>0</v>
      </c>
      <c r="T136" s="102"/>
      <c r="U136" s="102"/>
      <c r="V136" s="102"/>
      <c r="W136" s="102">
        <v>30000</v>
      </c>
      <c r="X136" s="102"/>
      <c r="Y136" s="102"/>
      <c r="Z136" s="102">
        <v>30000</v>
      </c>
      <c r="AA136" s="102">
        <f t="shared" si="13"/>
        <v>0</v>
      </c>
      <c r="AB136" s="102"/>
      <c r="AC136" s="102">
        <v>100000</v>
      </c>
      <c r="AD136" s="102">
        <f t="shared" si="23"/>
        <v>0</v>
      </c>
      <c r="AE136" s="102"/>
      <c r="AF136" s="102">
        <v>40000</v>
      </c>
      <c r="AG136" s="102">
        <f t="shared" si="28"/>
        <v>0</v>
      </c>
      <c r="AH136" s="102"/>
      <c r="AI136" s="102"/>
      <c r="AJ136" s="102"/>
      <c r="AK136" s="102"/>
      <c r="AL136" s="102">
        <v>60000</v>
      </c>
      <c r="AM136" s="108">
        <f t="shared" si="31"/>
        <v>0</v>
      </c>
      <c r="AN136" s="102"/>
      <c r="AO136" s="102"/>
      <c r="AP136" s="102"/>
      <c r="AQ136" s="127">
        <f>SUM(S136,X136,AA136,AD136,AG136,AJ136,AM136,AP136)</f>
        <v>0</v>
      </c>
      <c r="AR136" s="128">
        <f t="shared" si="9"/>
        <v>0</v>
      </c>
      <c r="AS136" s="102"/>
      <c r="AT136" s="133"/>
      <c r="AU136" s="129" t="str">
        <f t="shared" si="29"/>
        <v>Trống</v>
      </c>
      <c r="AV136" s="130">
        <f t="shared" si="30"/>
        <v>0</v>
      </c>
      <c r="AW136" s="131"/>
      <c r="AX136" s="106"/>
      <c r="AY136" s="102"/>
      <c r="AZ136" s="102"/>
      <c r="BA136" s="102"/>
      <c r="BB136" s="102"/>
      <c r="BC136" s="102"/>
      <c r="BD136" s="102"/>
      <c r="BE136" s="102"/>
      <c r="BF136" s="102"/>
      <c r="BG136" s="102"/>
      <c r="BH136" s="106"/>
      <c r="BI136" s="102"/>
      <c r="BJ136" s="102"/>
      <c r="BK136" s="102"/>
      <c r="BL136" s="102"/>
      <c r="BM136" s="102"/>
      <c r="BN136" s="102"/>
      <c r="BO136" s="132"/>
      <c r="BP136" s="102"/>
      <c r="BQ136" s="132"/>
      <c r="BR136" s="102"/>
      <c r="BS136" s="102"/>
      <c r="BT136" s="102"/>
      <c r="BU136" s="102"/>
      <c r="BV136" s="102"/>
      <c r="BW136" s="102"/>
      <c r="BX136" s="102"/>
      <c r="BY136" s="102"/>
      <c r="BZ136" s="102"/>
      <c r="CA136" s="102"/>
      <c r="CB136" s="102"/>
      <c r="CC136" s="102"/>
    </row>
    <row r="137" spans="1:81" ht="16.5" customHeight="1">
      <c r="A137" s="124"/>
      <c r="B137" s="101"/>
      <c r="C137" s="102"/>
      <c r="D137" s="102"/>
      <c r="E137" s="102"/>
      <c r="F137" s="106"/>
      <c r="G137" s="106"/>
      <c r="H137" s="106"/>
      <c r="I137" s="106"/>
      <c r="J137" s="102">
        <v>30</v>
      </c>
      <c r="K137" s="102">
        <v>30</v>
      </c>
      <c r="L137" s="105"/>
      <c r="M137" s="106"/>
      <c r="N137" s="101"/>
      <c r="O137" s="102"/>
      <c r="P137" s="102"/>
      <c r="Q137" s="102">
        <f t="shared" si="26"/>
        <v>0</v>
      </c>
      <c r="R137" s="102">
        <v>3800</v>
      </c>
      <c r="S137" s="106">
        <f t="shared" si="27"/>
        <v>0</v>
      </c>
      <c r="T137" s="102"/>
      <c r="U137" s="102"/>
      <c r="V137" s="102"/>
      <c r="W137" s="102">
        <v>30000</v>
      </c>
      <c r="X137" s="102"/>
      <c r="Y137" s="102"/>
      <c r="Z137" s="102">
        <v>30000</v>
      </c>
      <c r="AA137" s="102">
        <f t="shared" si="13"/>
        <v>0</v>
      </c>
      <c r="AB137" s="102"/>
      <c r="AC137" s="102">
        <v>100000</v>
      </c>
      <c r="AD137" s="102">
        <f t="shared" si="23"/>
        <v>0</v>
      </c>
      <c r="AE137" s="102"/>
      <c r="AF137" s="102">
        <v>40000</v>
      </c>
      <c r="AG137" s="102">
        <f t="shared" si="28"/>
        <v>0</v>
      </c>
      <c r="AH137" s="102"/>
      <c r="AI137" s="102"/>
      <c r="AJ137" s="102"/>
      <c r="AK137" s="102"/>
      <c r="AL137" s="102">
        <v>60000</v>
      </c>
      <c r="AM137" s="108">
        <f t="shared" si="31"/>
        <v>0</v>
      </c>
      <c r="AN137" s="102"/>
      <c r="AO137" s="102"/>
      <c r="AP137" s="102"/>
      <c r="AQ137" s="127">
        <f>(SUM(S137,X137,AA137,AD137,AG137,AJ137,AM137,AP137)/30)*26</f>
        <v>0</v>
      </c>
      <c r="AR137" s="128">
        <f t="shared" si="9"/>
        <v>0</v>
      </c>
      <c r="AS137" s="102"/>
      <c r="AT137" s="133"/>
      <c r="AU137" s="129" t="str">
        <f t="shared" si="29"/>
        <v>Trống</v>
      </c>
      <c r="AV137" s="130">
        <f t="shared" si="30"/>
        <v>0</v>
      </c>
      <c r="AW137" s="131"/>
      <c r="AX137" s="106"/>
      <c r="AY137" s="102"/>
      <c r="AZ137" s="102"/>
      <c r="BA137" s="102"/>
      <c r="BB137" s="102"/>
      <c r="BC137" s="102"/>
      <c r="BD137" s="102"/>
      <c r="BE137" s="102"/>
      <c r="BF137" s="102"/>
      <c r="BG137" s="102"/>
      <c r="BH137" s="106"/>
      <c r="BI137" s="102"/>
      <c r="BJ137" s="102"/>
      <c r="BK137" s="102"/>
      <c r="BL137" s="102"/>
      <c r="BM137" s="102"/>
      <c r="BN137" s="102"/>
      <c r="BO137" s="132"/>
      <c r="BP137" s="102"/>
      <c r="BQ137" s="132"/>
      <c r="BR137" s="102"/>
      <c r="BS137" s="102"/>
      <c r="BT137" s="102"/>
      <c r="BU137" s="102"/>
      <c r="BV137" s="102"/>
      <c r="BW137" s="102"/>
      <c r="BX137" s="102"/>
      <c r="BY137" s="102"/>
      <c r="BZ137" s="102"/>
      <c r="CA137" s="102"/>
      <c r="CB137" s="102"/>
      <c r="CC137" s="102"/>
    </row>
    <row r="138" spans="1:81" ht="17.25" customHeight="1">
      <c r="A138" s="124"/>
      <c r="B138" s="101"/>
      <c r="C138" s="102"/>
      <c r="D138" s="102"/>
      <c r="E138" s="102"/>
      <c r="F138" s="106"/>
      <c r="G138" s="106"/>
      <c r="H138" s="106"/>
      <c r="I138" s="106"/>
      <c r="J138" s="102">
        <v>30</v>
      </c>
      <c r="K138" s="102">
        <v>30</v>
      </c>
      <c r="L138" s="105"/>
      <c r="M138" s="106"/>
      <c r="N138" s="101"/>
      <c r="O138" s="102"/>
      <c r="P138" s="102"/>
      <c r="Q138" s="102">
        <f t="shared" si="26"/>
        <v>0</v>
      </c>
      <c r="R138" s="102">
        <v>3800</v>
      </c>
      <c r="S138" s="106">
        <f t="shared" si="27"/>
        <v>0</v>
      </c>
      <c r="T138" s="102"/>
      <c r="U138" s="102"/>
      <c r="V138" s="102"/>
      <c r="W138" s="102">
        <v>30000</v>
      </c>
      <c r="X138" s="102"/>
      <c r="Y138" s="102"/>
      <c r="Z138" s="102">
        <v>30000</v>
      </c>
      <c r="AA138" s="102">
        <f t="shared" si="13"/>
        <v>0</v>
      </c>
      <c r="AB138" s="102"/>
      <c r="AC138" s="102">
        <v>100000</v>
      </c>
      <c r="AD138" s="102">
        <f t="shared" si="23"/>
        <v>0</v>
      </c>
      <c r="AE138" s="102"/>
      <c r="AF138" s="102">
        <v>40000</v>
      </c>
      <c r="AG138" s="102">
        <f t="shared" si="28"/>
        <v>0</v>
      </c>
      <c r="AH138" s="102"/>
      <c r="AI138" s="102"/>
      <c r="AJ138" s="102"/>
      <c r="AK138" s="102"/>
      <c r="AL138" s="102">
        <v>60000</v>
      </c>
      <c r="AM138" s="108">
        <f t="shared" si="31"/>
        <v>0</v>
      </c>
      <c r="AN138" s="102"/>
      <c r="AO138" s="102"/>
      <c r="AP138" s="102"/>
      <c r="AQ138" s="127">
        <f>SUM(S138,X138,AA138,AD138,AG138,AJ138,AM138,AP138)</f>
        <v>0</v>
      </c>
      <c r="AR138" s="128">
        <f t="shared" si="9"/>
        <v>0</v>
      </c>
      <c r="AS138" s="102"/>
      <c r="AT138" s="133"/>
      <c r="AU138" s="129" t="str">
        <f t="shared" si="29"/>
        <v>Trống</v>
      </c>
      <c r="AV138" s="130">
        <f t="shared" si="30"/>
        <v>0</v>
      </c>
      <c r="AW138" s="131"/>
      <c r="AX138" s="106"/>
      <c r="AY138" s="102"/>
      <c r="AZ138" s="102"/>
      <c r="BA138" s="102"/>
      <c r="BB138" s="102"/>
      <c r="BC138" s="102"/>
      <c r="BD138" s="102"/>
      <c r="BE138" s="102"/>
      <c r="BF138" s="102"/>
      <c r="BG138" s="102"/>
      <c r="BH138" s="106"/>
      <c r="BI138" s="102"/>
      <c r="BJ138" s="102"/>
      <c r="BK138" s="102"/>
      <c r="BL138" s="102"/>
      <c r="BM138" s="102"/>
      <c r="BN138" s="102"/>
      <c r="BO138" s="132"/>
      <c r="BP138" s="102"/>
      <c r="BQ138" s="132"/>
      <c r="BR138" s="102"/>
      <c r="BS138" s="102"/>
      <c r="BT138" s="102"/>
      <c r="BU138" s="102"/>
      <c r="BV138" s="102"/>
      <c r="BW138" s="102"/>
      <c r="BX138" s="102"/>
      <c r="BY138" s="102"/>
      <c r="BZ138" s="102"/>
      <c r="CA138" s="102"/>
      <c r="CB138" s="102"/>
      <c r="CC138" s="102"/>
    </row>
    <row r="139" spans="1:81" ht="18" customHeight="1">
      <c r="A139" s="124"/>
      <c r="B139" s="101"/>
      <c r="C139" s="102"/>
      <c r="D139" s="102"/>
      <c r="E139" s="102"/>
      <c r="F139" s="106"/>
      <c r="G139" s="106"/>
      <c r="H139" s="106"/>
      <c r="I139" s="106"/>
      <c r="J139" s="102">
        <v>30</v>
      </c>
      <c r="K139" s="102">
        <v>30</v>
      </c>
      <c r="L139" s="105"/>
      <c r="M139" s="106"/>
      <c r="N139" s="101"/>
      <c r="O139" s="102"/>
      <c r="P139" s="102"/>
      <c r="Q139" s="102">
        <f t="shared" si="26"/>
        <v>0</v>
      </c>
      <c r="R139" s="102">
        <v>3800</v>
      </c>
      <c r="S139" s="106">
        <f t="shared" si="27"/>
        <v>0</v>
      </c>
      <c r="T139" s="102"/>
      <c r="U139" s="102"/>
      <c r="V139" s="102"/>
      <c r="W139" s="102">
        <v>30000</v>
      </c>
      <c r="X139" s="102"/>
      <c r="Y139" s="102"/>
      <c r="Z139" s="102">
        <v>30000</v>
      </c>
      <c r="AA139" s="102">
        <f t="shared" si="13"/>
        <v>0</v>
      </c>
      <c r="AB139" s="102"/>
      <c r="AC139" s="102">
        <v>100000</v>
      </c>
      <c r="AD139" s="102">
        <f t="shared" si="23"/>
        <v>0</v>
      </c>
      <c r="AE139" s="102"/>
      <c r="AF139" s="102">
        <v>40000</v>
      </c>
      <c r="AG139" s="102">
        <f t="shared" si="28"/>
        <v>0</v>
      </c>
      <c r="AH139" s="102"/>
      <c r="AI139" s="102"/>
      <c r="AJ139" s="102"/>
      <c r="AK139" s="102"/>
      <c r="AL139" s="102">
        <v>60000</v>
      </c>
      <c r="AM139" s="108">
        <f t="shared" si="31"/>
        <v>0</v>
      </c>
      <c r="AN139" s="102"/>
      <c r="AO139" s="102"/>
      <c r="AP139" s="102"/>
      <c r="AQ139" s="127">
        <f>SUM(S139,X139,AA139,AD139,AG139,AJ139,AM139,AP139)</f>
        <v>0</v>
      </c>
      <c r="AR139" s="128">
        <f t="shared" si="9"/>
        <v>0</v>
      </c>
      <c r="AS139" s="102"/>
      <c r="AT139" s="133"/>
      <c r="AU139" s="129" t="str">
        <f t="shared" si="29"/>
        <v>Trống</v>
      </c>
      <c r="AV139" s="130">
        <f t="shared" si="30"/>
        <v>0</v>
      </c>
      <c r="AW139" s="131"/>
      <c r="AX139" s="106"/>
      <c r="AY139" s="102"/>
      <c r="AZ139" s="102"/>
      <c r="BA139" s="102"/>
      <c r="BB139" s="102"/>
      <c r="BC139" s="102"/>
      <c r="BD139" s="102"/>
      <c r="BE139" s="102"/>
      <c r="BF139" s="102"/>
      <c r="BG139" s="102"/>
      <c r="BH139" s="106"/>
      <c r="BI139" s="102"/>
      <c r="BJ139" s="102"/>
      <c r="BK139" s="102"/>
      <c r="BL139" s="102"/>
      <c r="BM139" s="102"/>
      <c r="BN139" s="102"/>
      <c r="BO139" s="132"/>
      <c r="BP139" s="102"/>
      <c r="BQ139" s="132"/>
      <c r="BR139" s="102"/>
      <c r="BS139" s="102"/>
      <c r="BT139" s="102"/>
      <c r="BU139" s="102"/>
      <c r="BV139" s="102"/>
      <c r="BW139" s="102"/>
      <c r="BX139" s="102"/>
      <c r="BY139" s="102"/>
      <c r="BZ139" s="102"/>
      <c r="CA139" s="102"/>
      <c r="CB139" s="102"/>
      <c r="CC139" s="102"/>
    </row>
    <row r="140" spans="1:81" ht="19.5" customHeight="1">
      <c r="A140" s="124"/>
      <c r="B140" s="101"/>
      <c r="C140" s="102"/>
      <c r="D140" s="102"/>
      <c r="E140" s="102"/>
      <c r="F140" s="106"/>
      <c r="G140" s="106"/>
      <c r="H140" s="106"/>
      <c r="I140" s="106"/>
      <c r="J140" s="102">
        <v>30</v>
      </c>
      <c r="K140" s="102">
        <v>30</v>
      </c>
      <c r="L140" s="105"/>
      <c r="M140" s="106"/>
      <c r="N140" s="101"/>
      <c r="O140" s="102"/>
      <c r="P140" s="102"/>
      <c r="Q140" s="102">
        <f t="shared" si="26"/>
        <v>0</v>
      </c>
      <c r="R140" s="102">
        <v>3800</v>
      </c>
      <c r="S140" s="106">
        <f t="shared" si="27"/>
        <v>0</v>
      </c>
      <c r="T140" s="102"/>
      <c r="U140" s="102"/>
      <c r="V140" s="102"/>
      <c r="W140" s="102">
        <v>30000</v>
      </c>
      <c r="X140" s="102"/>
      <c r="Y140" s="102"/>
      <c r="Z140" s="102">
        <v>30000</v>
      </c>
      <c r="AA140" s="102">
        <f t="shared" si="13"/>
        <v>0</v>
      </c>
      <c r="AB140" s="102"/>
      <c r="AC140" s="102">
        <v>100000</v>
      </c>
      <c r="AD140" s="102">
        <f t="shared" si="23"/>
        <v>0</v>
      </c>
      <c r="AE140" s="102"/>
      <c r="AF140" s="102">
        <v>40000</v>
      </c>
      <c r="AG140" s="102">
        <f t="shared" si="28"/>
        <v>0</v>
      </c>
      <c r="AH140" s="102"/>
      <c r="AI140" s="102"/>
      <c r="AJ140" s="102"/>
      <c r="AK140" s="102"/>
      <c r="AL140" s="102">
        <v>60000</v>
      </c>
      <c r="AM140" s="108">
        <f t="shared" si="31"/>
        <v>0</v>
      </c>
      <c r="AN140" s="102"/>
      <c r="AO140" s="102"/>
      <c r="AP140" s="102"/>
      <c r="AQ140" s="127">
        <f>SUM(S140,X140,AA140,AD140,AG140,AJ140,AM140,AP140)</f>
        <v>0</v>
      </c>
      <c r="AR140" s="128">
        <f t="shared" si="9"/>
        <v>0</v>
      </c>
      <c r="AS140" s="102"/>
      <c r="AT140" s="133"/>
      <c r="AU140" s="129" t="str">
        <f t="shared" si="29"/>
        <v>Trống</v>
      </c>
      <c r="AV140" s="130">
        <f t="shared" si="30"/>
        <v>0</v>
      </c>
      <c r="AW140" s="131"/>
      <c r="AX140" s="106"/>
      <c r="AY140" s="102"/>
      <c r="AZ140" s="102"/>
      <c r="BA140" s="102"/>
      <c r="BB140" s="102"/>
      <c r="BC140" s="102"/>
      <c r="BD140" s="102"/>
      <c r="BE140" s="102"/>
      <c r="BF140" s="102"/>
      <c r="BG140" s="102"/>
      <c r="BH140" s="106"/>
      <c r="BI140" s="102"/>
      <c r="BJ140" s="102"/>
      <c r="BK140" s="102"/>
      <c r="BL140" s="102"/>
      <c r="BM140" s="102"/>
      <c r="BN140" s="102"/>
      <c r="BO140" s="132"/>
      <c r="BP140" s="102"/>
      <c r="BQ140" s="132"/>
      <c r="BR140" s="102"/>
      <c r="BS140" s="102"/>
      <c r="BT140" s="102"/>
      <c r="BU140" s="102"/>
      <c r="BV140" s="102"/>
      <c r="BW140" s="102"/>
      <c r="BX140" s="102"/>
      <c r="BY140" s="102"/>
      <c r="BZ140" s="102"/>
      <c r="CA140" s="102"/>
      <c r="CB140" s="102"/>
      <c r="CC140" s="102"/>
    </row>
    <row r="141" spans="1:81" ht="22.5" customHeight="1">
      <c r="A141" s="124"/>
      <c r="B141" s="101"/>
      <c r="C141" s="102"/>
      <c r="D141" s="102"/>
      <c r="E141" s="102"/>
      <c r="F141" s="106"/>
      <c r="G141" s="106"/>
      <c r="H141" s="106"/>
      <c r="I141" s="106"/>
      <c r="J141" s="102">
        <v>30</v>
      </c>
      <c r="K141" s="102">
        <v>30</v>
      </c>
      <c r="L141" s="105"/>
      <c r="M141" s="106"/>
      <c r="N141" s="101"/>
      <c r="O141" s="102"/>
      <c r="P141" s="102"/>
      <c r="Q141" s="102">
        <f t="shared" si="26"/>
        <v>0</v>
      </c>
      <c r="R141" s="102">
        <v>3800</v>
      </c>
      <c r="S141" s="106">
        <f t="shared" si="27"/>
        <v>0</v>
      </c>
      <c r="T141" s="102"/>
      <c r="U141" s="102"/>
      <c r="V141" s="102"/>
      <c r="W141" s="102">
        <v>30000</v>
      </c>
      <c r="X141" s="102"/>
      <c r="Y141" s="102"/>
      <c r="Z141" s="102">
        <v>30000</v>
      </c>
      <c r="AA141" s="102">
        <f t="shared" si="13"/>
        <v>0</v>
      </c>
      <c r="AB141" s="102"/>
      <c r="AC141" s="102">
        <v>100000</v>
      </c>
      <c r="AD141" s="102">
        <f t="shared" si="23"/>
        <v>0</v>
      </c>
      <c r="AE141" s="102"/>
      <c r="AF141" s="102">
        <v>40000</v>
      </c>
      <c r="AG141" s="102">
        <f t="shared" si="28"/>
        <v>0</v>
      </c>
      <c r="AH141" s="102"/>
      <c r="AI141" s="102"/>
      <c r="AJ141" s="102"/>
      <c r="AK141" s="102"/>
      <c r="AL141" s="102">
        <v>60000</v>
      </c>
      <c r="AM141" s="108">
        <f t="shared" si="31"/>
        <v>0</v>
      </c>
      <c r="AN141" s="102"/>
      <c r="AO141" s="102"/>
      <c r="AP141" s="102">
        <f>AN141*AO141</f>
        <v>0</v>
      </c>
      <c r="AQ141" s="127">
        <f>SUM(S141,X141,AA141,AD141,AG141,AJ141,AM141,AP141)</f>
        <v>0</v>
      </c>
      <c r="AR141" s="128">
        <f t="shared" si="9"/>
        <v>0</v>
      </c>
      <c r="AS141" s="102"/>
      <c r="AT141" s="133"/>
      <c r="AU141" s="129" t="str">
        <f t="shared" si="29"/>
        <v>Trống</v>
      </c>
      <c r="AV141" s="130">
        <f t="shared" si="30"/>
        <v>0</v>
      </c>
      <c r="AW141" s="131"/>
      <c r="AX141" s="106"/>
      <c r="AY141" s="102"/>
      <c r="AZ141" s="102"/>
      <c r="BA141" s="102"/>
      <c r="BB141" s="102"/>
      <c r="BC141" s="102"/>
      <c r="BD141" s="102"/>
      <c r="BE141" s="102"/>
      <c r="BF141" s="102"/>
      <c r="BG141" s="102"/>
      <c r="BH141" s="106"/>
      <c r="BI141" s="102"/>
      <c r="BJ141" s="102"/>
      <c r="BK141" s="102"/>
      <c r="BL141" s="102"/>
      <c r="BM141" s="102"/>
      <c r="BN141" s="102"/>
      <c r="BO141" s="132"/>
      <c r="BP141" s="102"/>
      <c r="BQ141" s="132"/>
      <c r="BR141" s="102"/>
      <c r="BS141" s="102"/>
      <c r="BT141" s="102"/>
      <c r="BU141" s="102"/>
      <c r="BV141" s="102"/>
      <c r="BW141" s="102"/>
      <c r="BX141" s="102"/>
      <c r="BY141" s="102"/>
      <c r="BZ141" s="102"/>
      <c r="CA141" s="102"/>
      <c r="CB141" s="102"/>
      <c r="CC141" s="102"/>
    </row>
    <row r="142" spans="1:81" ht="18.75" customHeight="1">
      <c r="A142" s="124"/>
      <c r="B142" s="101"/>
      <c r="C142" s="102"/>
      <c r="D142" s="102"/>
      <c r="E142" s="102"/>
      <c r="F142" s="106"/>
      <c r="G142" s="106"/>
      <c r="H142" s="106"/>
      <c r="I142" s="106"/>
      <c r="J142" s="102">
        <v>30</v>
      </c>
      <c r="K142" s="102">
        <v>30</v>
      </c>
      <c r="L142" s="105"/>
      <c r="M142" s="106"/>
      <c r="N142" s="101"/>
      <c r="O142" s="102"/>
      <c r="P142" s="102"/>
      <c r="Q142" s="102">
        <f t="shared" si="26"/>
        <v>0</v>
      </c>
      <c r="R142" s="102">
        <v>3800</v>
      </c>
      <c r="S142" s="106">
        <f t="shared" si="27"/>
        <v>0</v>
      </c>
      <c r="T142" s="102"/>
      <c r="U142" s="102"/>
      <c r="V142" s="102"/>
      <c r="W142" s="102">
        <v>30000</v>
      </c>
      <c r="X142" s="102"/>
      <c r="Y142" s="102"/>
      <c r="Z142" s="102">
        <v>30000</v>
      </c>
      <c r="AA142" s="102">
        <f t="shared" si="13"/>
        <v>0</v>
      </c>
      <c r="AB142" s="102"/>
      <c r="AC142" s="102">
        <v>100000</v>
      </c>
      <c r="AD142" s="102">
        <f t="shared" si="23"/>
        <v>0</v>
      </c>
      <c r="AE142" s="102"/>
      <c r="AF142" s="102">
        <v>40000</v>
      </c>
      <c r="AG142" s="102">
        <f t="shared" si="28"/>
        <v>0</v>
      </c>
      <c r="AH142" s="102"/>
      <c r="AI142" s="102"/>
      <c r="AJ142" s="102"/>
      <c r="AK142" s="102"/>
      <c r="AL142" s="102">
        <v>60000</v>
      </c>
      <c r="AM142" s="108">
        <f t="shared" si="31"/>
        <v>0</v>
      </c>
      <c r="AN142" s="102"/>
      <c r="AO142" s="102"/>
      <c r="AP142" s="102"/>
      <c r="AQ142" s="127">
        <f>(SUM(S142,X142,AA142,AD142,AG142,AJ142,AM142,AP142)/30)*26</f>
        <v>0</v>
      </c>
      <c r="AR142" s="128">
        <f t="shared" si="9"/>
        <v>0</v>
      </c>
      <c r="AS142" s="102"/>
      <c r="AT142" s="133"/>
      <c r="AU142" s="129" t="str">
        <f t="shared" si="29"/>
        <v>Trống</v>
      </c>
      <c r="AV142" s="130">
        <f t="shared" si="30"/>
        <v>0</v>
      </c>
      <c r="AW142" s="131"/>
      <c r="AX142" s="106"/>
      <c r="AY142" s="102"/>
      <c r="AZ142" s="102"/>
      <c r="BA142" s="102"/>
      <c r="BB142" s="102"/>
      <c r="BC142" s="102"/>
      <c r="BD142" s="102"/>
      <c r="BE142" s="102"/>
      <c r="BF142" s="102"/>
      <c r="BG142" s="102"/>
      <c r="BH142" s="106"/>
      <c r="BI142" s="102"/>
      <c r="BJ142" s="102"/>
      <c r="BK142" s="102"/>
      <c r="BL142" s="102"/>
      <c r="BM142" s="102"/>
      <c r="BN142" s="102"/>
      <c r="BO142" s="132"/>
      <c r="BP142" s="102"/>
      <c r="BQ142" s="132"/>
      <c r="BR142" s="102"/>
      <c r="BS142" s="102"/>
      <c r="BT142" s="102"/>
      <c r="BU142" s="102"/>
      <c r="BV142" s="102"/>
      <c r="BW142" s="102"/>
      <c r="BX142" s="102"/>
      <c r="BY142" s="102"/>
      <c r="BZ142" s="102"/>
      <c r="CA142" s="102"/>
      <c r="CB142" s="102"/>
      <c r="CC142" s="102"/>
    </row>
    <row r="143" spans="1:81" ht="16.5" customHeight="1">
      <c r="A143" s="124"/>
      <c r="B143" s="101"/>
      <c r="C143" s="102"/>
      <c r="D143" s="102"/>
      <c r="E143" s="102"/>
      <c r="F143" s="106"/>
      <c r="G143" s="106"/>
      <c r="H143" s="106"/>
      <c r="I143" s="106"/>
      <c r="J143" s="102">
        <v>30</v>
      </c>
      <c r="K143" s="102">
        <v>30</v>
      </c>
      <c r="L143" s="105"/>
      <c r="M143" s="106"/>
      <c r="N143" s="101"/>
      <c r="O143" s="102"/>
      <c r="P143" s="102"/>
      <c r="Q143" s="102">
        <f t="shared" si="26"/>
        <v>0</v>
      </c>
      <c r="R143" s="102">
        <v>3800</v>
      </c>
      <c r="S143" s="106">
        <f t="shared" si="27"/>
        <v>0</v>
      </c>
      <c r="T143" s="102"/>
      <c r="U143" s="102"/>
      <c r="V143" s="102"/>
      <c r="W143" s="102">
        <v>30000</v>
      </c>
      <c r="X143" s="102"/>
      <c r="Y143" s="102"/>
      <c r="Z143" s="102">
        <v>30000</v>
      </c>
      <c r="AA143" s="102">
        <f t="shared" si="13"/>
        <v>0</v>
      </c>
      <c r="AB143" s="102"/>
      <c r="AC143" s="102">
        <v>100000</v>
      </c>
      <c r="AD143" s="102">
        <f t="shared" si="23"/>
        <v>0</v>
      </c>
      <c r="AE143" s="102"/>
      <c r="AF143" s="102">
        <v>40000</v>
      </c>
      <c r="AG143" s="102">
        <f t="shared" si="28"/>
        <v>0</v>
      </c>
      <c r="AH143" s="102"/>
      <c r="AI143" s="102"/>
      <c r="AJ143" s="102"/>
      <c r="AK143" s="102"/>
      <c r="AL143" s="102">
        <v>60000</v>
      </c>
      <c r="AM143" s="108">
        <f t="shared" si="31"/>
        <v>0</v>
      </c>
      <c r="AN143" s="102"/>
      <c r="AO143" s="102"/>
      <c r="AP143" s="102">
        <f>AN143*AO143</f>
        <v>0</v>
      </c>
      <c r="AQ143" s="127">
        <f>SUM(S143,X143,AA143,AD143,AG143,AJ143,AM143,AP143)</f>
        <v>0</v>
      </c>
      <c r="AR143" s="128">
        <f t="shared" si="9"/>
        <v>0</v>
      </c>
      <c r="AS143" s="102"/>
      <c r="AT143" s="133"/>
      <c r="AU143" s="129" t="str">
        <f t="shared" si="29"/>
        <v>Trống</v>
      </c>
      <c r="AV143" s="130">
        <f t="shared" si="30"/>
        <v>0</v>
      </c>
      <c r="AW143" s="131"/>
      <c r="AX143" s="106"/>
      <c r="AY143" s="102"/>
      <c r="AZ143" s="102"/>
      <c r="BA143" s="102"/>
      <c r="BB143" s="102"/>
      <c r="BC143" s="102"/>
      <c r="BD143" s="102"/>
      <c r="BE143" s="102"/>
      <c r="BF143" s="102"/>
      <c r="BG143" s="102"/>
      <c r="BH143" s="106"/>
      <c r="BI143" s="102"/>
      <c r="BJ143" s="102"/>
      <c r="BK143" s="102"/>
      <c r="BL143" s="102"/>
      <c r="BM143" s="102"/>
      <c r="BN143" s="102"/>
      <c r="BO143" s="132"/>
      <c r="BP143" s="102"/>
      <c r="BQ143" s="132"/>
      <c r="BR143" s="102"/>
      <c r="BS143" s="102"/>
      <c r="BT143" s="102"/>
      <c r="BU143" s="102"/>
      <c r="BV143" s="102"/>
      <c r="BW143" s="102"/>
      <c r="BX143" s="102"/>
      <c r="BY143" s="102"/>
      <c r="BZ143" s="102"/>
      <c r="CA143" s="102"/>
      <c r="CB143" s="102"/>
      <c r="CC143" s="102"/>
    </row>
    <row r="144" spans="1:81" ht="17.25" customHeight="1">
      <c r="A144" s="124"/>
      <c r="B144" s="101"/>
      <c r="C144" s="102"/>
      <c r="D144" s="102"/>
      <c r="E144" s="102"/>
      <c r="F144" s="106"/>
      <c r="G144" s="106"/>
      <c r="H144" s="106"/>
      <c r="I144" s="106"/>
      <c r="J144" s="102">
        <v>30</v>
      </c>
      <c r="K144" s="102">
        <v>30</v>
      </c>
      <c r="L144" s="105"/>
      <c r="M144" s="106"/>
      <c r="N144" s="101"/>
      <c r="O144" s="102"/>
      <c r="P144" s="102"/>
      <c r="Q144" s="102">
        <f t="shared" si="26"/>
        <v>0</v>
      </c>
      <c r="R144" s="102">
        <v>3800</v>
      </c>
      <c r="S144" s="106">
        <f t="shared" si="27"/>
        <v>0</v>
      </c>
      <c r="T144" s="102"/>
      <c r="U144" s="102"/>
      <c r="V144" s="102"/>
      <c r="W144" s="102">
        <v>30000</v>
      </c>
      <c r="X144" s="102"/>
      <c r="Y144" s="102"/>
      <c r="Z144" s="102">
        <v>30000</v>
      </c>
      <c r="AA144" s="102">
        <f t="shared" si="13"/>
        <v>0</v>
      </c>
      <c r="AB144" s="102"/>
      <c r="AC144" s="102">
        <v>100000</v>
      </c>
      <c r="AD144" s="102">
        <f t="shared" si="23"/>
        <v>0</v>
      </c>
      <c r="AE144" s="102"/>
      <c r="AF144" s="102">
        <v>40000</v>
      </c>
      <c r="AG144" s="102">
        <f t="shared" si="28"/>
        <v>0</v>
      </c>
      <c r="AH144" s="102"/>
      <c r="AI144" s="102"/>
      <c r="AJ144" s="102"/>
      <c r="AK144" s="102"/>
      <c r="AL144" s="102">
        <v>60000</v>
      </c>
      <c r="AM144" s="108">
        <f t="shared" si="31"/>
        <v>0</v>
      </c>
      <c r="AN144" s="102"/>
      <c r="AO144" s="102"/>
      <c r="AP144" s="102"/>
      <c r="AQ144" s="127">
        <f>(SUM(S144,X144,AA144,AD144,AG144,AJ144,AM144,AP144)/31)*19</f>
        <v>0</v>
      </c>
      <c r="AR144" s="128">
        <f t="shared" si="9"/>
        <v>0</v>
      </c>
      <c r="AS144" s="102"/>
      <c r="AT144" s="133"/>
      <c r="AU144" s="129" t="str">
        <f t="shared" si="29"/>
        <v>Trống</v>
      </c>
      <c r="AV144" s="130">
        <f t="shared" si="30"/>
        <v>0</v>
      </c>
      <c r="AW144" s="131"/>
      <c r="AX144" s="106"/>
      <c r="AY144" s="102"/>
      <c r="AZ144" s="102"/>
      <c r="BA144" s="102"/>
      <c r="BB144" s="102"/>
      <c r="BC144" s="102"/>
      <c r="BD144" s="102"/>
      <c r="BE144" s="102"/>
      <c r="BF144" s="102"/>
      <c r="BG144" s="102"/>
      <c r="BH144" s="106"/>
      <c r="BI144" s="102"/>
      <c r="BJ144" s="102"/>
      <c r="BK144" s="102"/>
      <c r="BL144" s="102"/>
      <c r="BM144" s="102"/>
      <c r="BN144" s="102"/>
      <c r="BO144" s="132"/>
      <c r="BP144" s="102"/>
      <c r="BQ144" s="132"/>
      <c r="BR144" s="102"/>
      <c r="BS144" s="102"/>
      <c r="BT144" s="102"/>
      <c r="BU144" s="102"/>
      <c r="BV144" s="102"/>
      <c r="BW144" s="102"/>
      <c r="BX144" s="102"/>
      <c r="BY144" s="102"/>
      <c r="BZ144" s="102"/>
      <c r="CA144" s="102"/>
      <c r="CB144" s="102"/>
      <c r="CC144" s="102"/>
    </row>
    <row r="145" spans="1:81" ht="16.5" customHeight="1">
      <c r="A145" s="124"/>
      <c r="B145" s="101"/>
      <c r="C145" s="102"/>
      <c r="D145" s="102"/>
      <c r="E145" s="102"/>
      <c r="F145" s="137"/>
      <c r="G145" s="137"/>
      <c r="H145" s="137"/>
      <c r="I145" s="116"/>
      <c r="J145" s="102"/>
      <c r="K145" s="102"/>
      <c r="L145" s="105"/>
      <c r="M145" s="106"/>
      <c r="N145" s="101"/>
      <c r="O145" s="111"/>
      <c r="P145" s="111"/>
      <c r="Q145" s="102"/>
      <c r="R145" s="102"/>
      <c r="S145" s="106"/>
      <c r="T145" s="111"/>
      <c r="U145" s="111"/>
      <c r="V145" s="102"/>
      <c r="W145" s="102"/>
      <c r="X145" s="111"/>
      <c r="Y145" s="102"/>
      <c r="Z145" s="102"/>
      <c r="AA145" s="102"/>
      <c r="AB145" s="102"/>
      <c r="AC145" s="102"/>
      <c r="AD145" s="102"/>
      <c r="AE145" s="102"/>
      <c r="AF145" s="102"/>
      <c r="AG145" s="102"/>
      <c r="AH145" s="102"/>
      <c r="AI145" s="102"/>
      <c r="AJ145" s="102"/>
      <c r="AK145" s="102"/>
      <c r="AL145" s="138"/>
      <c r="AM145" s="108"/>
      <c r="AN145" s="138"/>
      <c r="AO145" s="138"/>
      <c r="AP145" s="138"/>
      <c r="AQ145" s="109"/>
      <c r="AR145" s="128">
        <f t="shared" si="9"/>
        <v>0</v>
      </c>
      <c r="AS145" s="111"/>
      <c r="AT145" s="118"/>
      <c r="AU145" s="113"/>
      <c r="AV145" s="114"/>
      <c r="AW145" s="131"/>
      <c r="AX145" s="106"/>
      <c r="AY145" s="102"/>
      <c r="AZ145" s="102"/>
      <c r="BA145" s="102"/>
      <c r="BB145" s="102"/>
      <c r="BC145" s="102"/>
      <c r="BD145" s="102"/>
      <c r="BE145" s="102"/>
      <c r="BF145" s="102"/>
      <c r="BG145" s="102"/>
      <c r="BH145" s="106"/>
      <c r="BI145" s="102"/>
      <c r="BJ145" s="102"/>
      <c r="BK145" s="102"/>
      <c r="BL145" s="102"/>
      <c r="BM145" s="102"/>
      <c r="BN145" s="102"/>
      <c r="BO145" s="132"/>
      <c r="BP145" s="102"/>
      <c r="BQ145" s="132"/>
      <c r="BR145" s="102"/>
      <c r="BS145" s="102"/>
      <c r="BT145" s="102"/>
      <c r="BU145" s="102"/>
      <c r="BV145" s="102"/>
      <c r="BW145" s="102"/>
      <c r="BX145" s="102"/>
      <c r="BY145" s="102"/>
      <c r="BZ145" s="102"/>
      <c r="CA145" s="102"/>
      <c r="CB145" s="102"/>
      <c r="CC145" s="102"/>
    </row>
    <row r="146" spans="1:81" ht="18" customHeight="1">
      <c r="A146" s="124"/>
      <c r="B146" s="101"/>
      <c r="C146" s="102"/>
      <c r="D146" s="102"/>
      <c r="E146" s="102"/>
      <c r="F146" s="137"/>
      <c r="G146" s="137"/>
      <c r="H146" s="137"/>
      <c r="I146" s="116"/>
      <c r="J146" s="102"/>
      <c r="K146" s="102"/>
      <c r="L146" s="105"/>
      <c r="M146" s="106"/>
      <c r="N146" s="101"/>
      <c r="O146" s="111"/>
      <c r="P146" s="111"/>
      <c r="Q146" s="102"/>
      <c r="R146" s="102"/>
      <c r="S146" s="106"/>
      <c r="T146" s="111"/>
      <c r="U146" s="111"/>
      <c r="V146" s="102"/>
      <c r="W146" s="102"/>
      <c r="X146" s="111"/>
      <c r="Y146" s="102"/>
      <c r="Z146" s="102"/>
      <c r="AA146" s="102"/>
      <c r="AB146" s="102"/>
      <c r="AC146" s="102"/>
      <c r="AD146" s="102"/>
      <c r="AE146" s="102"/>
      <c r="AF146" s="102"/>
      <c r="AG146" s="102"/>
      <c r="AH146" s="102"/>
      <c r="AI146" s="102"/>
      <c r="AJ146" s="102"/>
      <c r="AK146" s="102"/>
      <c r="AL146" s="138"/>
      <c r="AM146" s="108"/>
      <c r="AN146" s="138"/>
      <c r="AO146" s="138"/>
      <c r="AP146" s="138"/>
      <c r="AQ146" s="109"/>
      <c r="AR146" s="128">
        <f t="shared" si="9"/>
        <v>0</v>
      </c>
      <c r="AS146" s="111"/>
      <c r="AT146" s="118"/>
      <c r="AU146" s="113"/>
      <c r="AV146" s="114"/>
      <c r="AW146" s="131"/>
      <c r="AX146" s="106"/>
      <c r="AY146" s="102"/>
      <c r="AZ146" s="102"/>
      <c r="BA146" s="102"/>
      <c r="BB146" s="102"/>
      <c r="BC146" s="102"/>
      <c r="BD146" s="102"/>
      <c r="BE146" s="102"/>
      <c r="BF146" s="102"/>
      <c r="BG146" s="102"/>
      <c r="BH146" s="106"/>
      <c r="BI146" s="102"/>
      <c r="BJ146" s="102"/>
      <c r="BK146" s="102"/>
      <c r="BL146" s="102"/>
      <c r="BM146" s="102"/>
      <c r="BN146" s="102"/>
      <c r="BO146" s="132"/>
      <c r="BP146" s="102"/>
      <c r="BQ146" s="132"/>
      <c r="BR146" s="102"/>
      <c r="BS146" s="102"/>
      <c r="BT146" s="102"/>
      <c r="BU146" s="102"/>
      <c r="BV146" s="102"/>
      <c r="BW146" s="102"/>
      <c r="BX146" s="102"/>
      <c r="BY146" s="102"/>
      <c r="BZ146" s="102"/>
      <c r="CA146" s="102"/>
      <c r="CB146" s="102"/>
      <c r="CC146" s="102"/>
    </row>
    <row r="147" spans="1:81" ht="18.75" customHeight="1">
      <c r="A147" s="124"/>
      <c r="B147" s="124"/>
      <c r="C147" s="111"/>
      <c r="D147" s="111"/>
      <c r="E147" s="111"/>
      <c r="F147" s="116"/>
      <c r="G147" s="116"/>
      <c r="H147" s="116"/>
      <c r="I147" s="116"/>
      <c r="J147" s="111"/>
      <c r="K147" s="111"/>
      <c r="L147" s="122"/>
      <c r="M147" s="116"/>
      <c r="N147" s="124"/>
      <c r="O147" s="111"/>
      <c r="P147" s="111"/>
      <c r="Q147" s="111"/>
      <c r="R147" s="111"/>
      <c r="S147" s="116"/>
      <c r="T147" s="111"/>
      <c r="U147" s="111"/>
      <c r="V147" s="111"/>
      <c r="W147" s="111"/>
      <c r="X147" s="111"/>
      <c r="Y147" s="111"/>
      <c r="Z147" s="111"/>
      <c r="AA147" s="111"/>
      <c r="AB147" s="111"/>
      <c r="AC147" s="111"/>
      <c r="AD147" s="111"/>
      <c r="AE147" s="111"/>
      <c r="AF147" s="111"/>
      <c r="AG147" s="111"/>
      <c r="AH147" s="111"/>
      <c r="AI147" s="111"/>
      <c r="AJ147" s="111"/>
      <c r="AK147" s="111"/>
      <c r="AL147" s="111"/>
      <c r="AM147" s="125"/>
      <c r="AN147" s="111"/>
      <c r="AO147" s="111"/>
      <c r="AP147" s="111"/>
      <c r="AQ147" s="109"/>
      <c r="AR147" s="110"/>
      <c r="AS147" s="111"/>
      <c r="AT147" s="118"/>
      <c r="AU147" s="113"/>
      <c r="AV147" s="114"/>
      <c r="AW147" s="115"/>
      <c r="AX147" s="116"/>
      <c r="AY147" s="111"/>
      <c r="AZ147" s="111"/>
      <c r="BA147" s="111"/>
      <c r="BB147" s="111"/>
      <c r="BC147" s="111"/>
      <c r="BD147" s="111"/>
      <c r="BE147" s="111"/>
      <c r="BF147" s="111"/>
      <c r="BG147" s="111"/>
      <c r="BH147" s="116"/>
      <c r="BI147" s="111"/>
      <c r="BJ147" s="111"/>
      <c r="BK147" s="111"/>
      <c r="BL147" s="111"/>
      <c r="BM147" s="111"/>
      <c r="BN147" s="111"/>
      <c r="BO147" s="117"/>
      <c r="BP147" s="111"/>
      <c r="BQ147" s="117"/>
      <c r="BR147" s="111"/>
      <c r="BS147" s="111"/>
      <c r="BT147" s="111"/>
      <c r="BU147" s="111"/>
      <c r="BV147" s="111"/>
      <c r="BW147" s="111"/>
      <c r="BX147" s="111"/>
      <c r="BY147" s="111"/>
      <c r="BZ147" s="111"/>
      <c r="CA147" s="111"/>
      <c r="CB147" s="111"/>
      <c r="CC147" s="111"/>
    </row>
    <row r="148" spans="1:81" ht="22.5" customHeight="1">
      <c r="A148" s="124"/>
      <c r="B148" s="124"/>
      <c r="C148" s="111"/>
      <c r="D148" s="111"/>
      <c r="E148" s="111"/>
      <c r="F148" s="116"/>
      <c r="G148" s="116"/>
      <c r="H148" s="116"/>
      <c r="I148" s="116"/>
      <c r="J148" s="116"/>
      <c r="K148" s="111"/>
      <c r="L148" s="122"/>
      <c r="M148" s="116"/>
      <c r="N148" s="124"/>
      <c r="O148" s="111"/>
      <c r="P148" s="111"/>
      <c r="Q148" s="111"/>
      <c r="R148" s="111"/>
      <c r="S148" s="116"/>
      <c r="T148" s="111"/>
      <c r="U148" s="111"/>
      <c r="V148" s="111"/>
      <c r="W148" s="111"/>
      <c r="X148" s="111"/>
      <c r="Y148" s="111"/>
      <c r="Z148" s="111"/>
      <c r="AA148" s="111"/>
      <c r="AB148" s="111"/>
      <c r="AC148" s="111"/>
      <c r="AD148" s="111"/>
      <c r="AE148" s="111"/>
      <c r="AF148" s="111"/>
      <c r="AG148" s="111"/>
      <c r="AH148" s="111"/>
      <c r="AI148" s="111"/>
      <c r="AJ148" s="111"/>
      <c r="AK148" s="111"/>
      <c r="AL148" s="111"/>
      <c r="AM148" s="125"/>
      <c r="AN148" s="111"/>
      <c r="AO148" s="111"/>
      <c r="AP148" s="111"/>
      <c r="AQ148" s="109"/>
      <c r="AR148" s="110"/>
      <c r="AS148" s="111"/>
      <c r="AT148" s="118"/>
      <c r="AU148" s="113"/>
      <c r="AV148" s="114"/>
      <c r="AW148" s="115"/>
      <c r="AX148" s="116"/>
      <c r="AY148" s="111"/>
      <c r="AZ148" s="111"/>
      <c r="BA148" s="111"/>
      <c r="BB148" s="111"/>
      <c r="BC148" s="111"/>
      <c r="BD148" s="111"/>
      <c r="BE148" s="111"/>
      <c r="BF148" s="111"/>
      <c r="BG148" s="111"/>
      <c r="BH148" s="116"/>
      <c r="BI148" s="111"/>
      <c r="BJ148" s="111"/>
      <c r="BK148" s="111"/>
      <c r="BL148" s="111"/>
      <c r="BM148" s="111"/>
      <c r="BN148" s="111"/>
      <c r="BO148" s="117"/>
      <c r="BP148" s="111"/>
      <c r="BQ148" s="117"/>
      <c r="BR148" s="111"/>
      <c r="BS148" s="111"/>
      <c r="BT148" s="111"/>
      <c r="BU148" s="111"/>
      <c r="BV148" s="111"/>
      <c r="BW148" s="111"/>
      <c r="BX148" s="111"/>
      <c r="BY148" s="111"/>
      <c r="BZ148" s="111"/>
      <c r="CA148" s="111"/>
      <c r="CB148" s="111"/>
      <c r="CC148" s="111"/>
    </row>
    <row r="149" spans="1:81" ht="27.75" customHeight="1">
      <c r="A149" s="124"/>
      <c r="B149" s="124"/>
      <c r="C149" s="111"/>
      <c r="D149" s="111"/>
      <c r="E149" s="111"/>
      <c r="F149" s="116"/>
      <c r="G149" s="116"/>
      <c r="H149" s="116"/>
      <c r="I149" s="116"/>
      <c r="J149" s="111"/>
      <c r="K149" s="111"/>
      <c r="L149" s="122"/>
      <c r="M149" s="116"/>
      <c r="N149" s="124"/>
      <c r="O149" s="111"/>
      <c r="P149" s="111"/>
      <c r="Q149" s="111"/>
      <c r="R149" s="111"/>
      <c r="S149" s="116"/>
      <c r="T149" s="111"/>
      <c r="U149" s="111"/>
      <c r="V149" s="111"/>
      <c r="W149" s="111"/>
      <c r="X149" s="111"/>
      <c r="Y149" s="111"/>
      <c r="Z149" s="111"/>
      <c r="AA149" s="111"/>
      <c r="AB149" s="111"/>
      <c r="AC149" s="111"/>
      <c r="AD149" s="111"/>
      <c r="AE149" s="111"/>
      <c r="AF149" s="111"/>
      <c r="AG149" s="111"/>
      <c r="AH149" s="111"/>
      <c r="AI149" s="111"/>
      <c r="AJ149" s="111"/>
      <c r="AK149" s="111"/>
      <c r="AL149" s="111"/>
      <c r="AM149" s="125"/>
      <c r="AN149" s="111"/>
      <c r="AO149" s="111"/>
      <c r="AP149" s="111"/>
      <c r="AQ149" s="109">
        <f>SUM(S149,X149,AA149,AD149,AG149,AJ149,AM149,AP149)</f>
        <v>0</v>
      </c>
      <c r="AR149" s="110">
        <f>AQ149+H149*E149+I149+L149+M149</f>
        <v>0</v>
      </c>
      <c r="AS149" s="111"/>
      <c r="AT149" s="118"/>
      <c r="AU149" s="113"/>
      <c r="AV149" s="114"/>
      <c r="AW149" s="115"/>
      <c r="AX149" s="116"/>
      <c r="AY149" s="111"/>
      <c r="AZ149" s="111"/>
      <c r="BA149" s="111"/>
      <c r="BB149" s="111"/>
      <c r="BC149" s="111"/>
      <c r="BD149" s="111"/>
      <c r="BE149" s="111"/>
      <c r="BF149" s="111"/>
      <c r="BG149" s="111"/>
      <c r="BH149" s="116"/>
      <c r="BI149" s="111"/>
      <c r="BJ149" s="111"/>
      <c r="BK149" s="111"/>
      <c r="BL149" s="111"/>
      <c r="BM149" s="111"/>
      <c r="BN149" s="111"/>
      <c r="BO149" s="117"/>
      <c r="BP149" s="111"/>
      <c r="BQ149" s="117"/>
      <c r="BR149" s="111"/>
      <c r="BS149" s="111"/>
      <c r="BT149" s="111"/>
      <c r="BU149" s="111"/>
      <c r="BV149" s="111"/>
      <c r="BW149" s="111"/>
      <c r="BX149" s="111"/>
      <c r="BY149" s="111"/>
      <c r="BZ149" s="111"/>
      <c r="CA149" s="111"/>
      <c r="CB149" s="111"/>
      <c r="CC149" s="111"/>
    </row>
    <row r="150" spans="1:81" ht="19.5" customHeight="1">
      <c r="A150" s="124"/>
      <c r="B150" s="124"/>
      <c r="C150" s="111"/>
      <c r="D150" s="111"/>
      <c r="E150" s="111"/>
      <c r="F150" s="116"/>
      <c r="G150" s="116"/>
      <c r="H150" s="116"/>
      <c r="I150" s="116"/>
      <c r="J150" s="111"/>
      <c r="K150" s="111"/>
      <c r="L150" s="122"/>
      <c r="M150" s="116"/>
      <c r="N150" s="124"/>
      <c r="O150" s="111"/>
      <c r="P150" s="111"/>
      <c r="Q150" s="111"/>
      <c r="R150" s="111"/>
      <c r="S150" s="116"/>
      <c r="T150" s="111"/>
      <c r="U150" s="111"/>
      <c r="V150" s="111"/>
      <c r="W150" s="111"/>
      <c r="X150" s="111"/>
      <c r="Y150" s="111"/>
      <c r="Z150" s="111"/>
      <c r="AA150" s="111"/>
      <c r="AB150" s="111"/>
      <c r="AC150" s="111"/>
      <c r="AD150" s="111"/>
      <c r="AE150" s="111"/>
      <c r="AF150" s="111"/>
      <c r="AG150" s="111"/>
      <c r="AH150" s="111"/>
      <c r="AI150" s="111"/>
      <c r="AJ150" s="111"/>
      <c r="AK150" s="111"/>
      <c r="AL150" s="111"/>
      <c r="AM150" s="125"/>
      <c r="AN150" s="111"/>
      <c r="AO150" s="111"/>
      <c r="AP150" s="111"/>
      <c r="AQ150" s="109"/>
      <c r="AR150" s="110"/>
      <c r="AS150" s="111"/>
      <c r="AT150" s="118"/>
      <c r="AU150" s="113"/>
      <c r="AV150" s="114"/>
      <c r="AW150" s="115"/>
      <c r="AX150" s="116"/>
      <c r="AY150" s="111"/>
      <c r="AZ150" s="111"/>
      <c r="BA150" s="111"/>
      <c r="BB150" s="111"/>
      <c r="BC150" s="111"/>
      <c r="BD150" s="111"/>
      <c r="BE150" s="111"/>
      <c r="BF150" s="111"/>
      <c r="BG150" s="111"/>
      <c r="BH150" s="116"/>
      <c r="BI150" s="111"/>
      <c r="BJ150" s="111"/>
      <c r="BK150" s="111"/>
      <c r="BL150" s="111"/>
      <c r="BM150" s="111"/>
      <c r="BN150" s="111"/>
      <c r="BO150" s="117"/>
      <c r="BP150" s="111"/>
      <c r="BQ150" s="117"/>
      <c r="BR150" s="111"/>
      <c r="BS150" s="111"/>
      <c r="BT150" s="111"/>
      <c r="BU150" s="111"/>
      <c r="BV150" s="111"/>
      <c r="BW150" s="111"/>
      <c r="BX150" s="111"/>
      <c r="BY150" s="111"/>
      <c r="BZ150" s="111"/>
      <c r="CA150" s="111"/>
      <c r="CB150" s="111"/>
      <c r="CC150" s="111"/>
    </row>
    <row r="151" spans="1:81" ht="19.5" customHeight="1">
      <c r="A151" s="124"/>
      <c r="B151" s="124"/>
      <c r="C151" s="111"/>
      <c r="D151" s="111"/>
      <c r="E151" s="111"/>
      <c r="F151" s="116"/>
      <c r="G151" s="116"/>
      <c r="H151" s="116"/>
      <c r="I151" s="116"/>
      <c r="J151" s="111"/>
      <c r="K151" s="111"/>
      <c r="L151" s="122"/>
      <c r="M151" s="116"/>
      <c r="N151" s="124"/>
      <c r="O151" s="111"/>
      <c r="P151" s="111"/>
      <c r="Q151" s="111"/>
      <c r="R151" s="111"/>
      <c r="S151" s="116"/>
      <c r="T151" s="111"/>
      <c r="U151" s="111"/>
      <c r="V151" s="111"/>
      <c r="W151" s="111"/>
      <c r="X151" s="111"/>
      <c r="Y151" s="111"/>
      <c r="Z151" s="111"/>
      <c r="AA151" s="111"/>
      <c r="AB151" s="111"/>
      <c r="AC151" s="111"/>
      <c r="AD151" s="111"/>
      <c r="AE151" s="111"/>
      <c r="AF151" s="111"/>
      <c r="AG151" s="111"/>
      <c r="AH151" s="111"/>
      <c r="AI151" s="111"/>
      <c r="AJ151" s="111"/>
      <c r="AK151" s="111"/>
      <c r="AL151" s="111"/>
      <c r="AM151" s="125"/>
      <c r="AN151" s="111"/>
      <c r="AO151" s="111"/>
      <c r="AP151" s="111"/>
      <c r="AQ151" s="109"/>
      <c r="AR151" s="110"/>
      <c r="AS151" s="111"/>
      <c r="AT151" s="118"/>
      <c r="AU151" s="113"/>
      <c r="AV151" s="114"/>
      <c r="AW151" s="115"/>
      <c r="AX151" s="116"/>
      <c r="AY151" s="111"/>
      <c r="AZ151" s="111"/>
      <c r="BA151" s="111"/>
      <c r="BB151" s="111"/>
      <c r="BC151" s="111"/>
      <c r="BD151" s="111"/>
      <c r="BE151" s="111"/>
      <c r="BF151" s="111"/>
      <c r="BG151" s="111"/>
      <c r="BH151" s="116"/>
      <c r="BI151" s="111"/>
      <c r="BJ151" s="111"/>
      <c r="BK151" s="111"/>
      <c r="BL151" s="111"/>
      <c r="BM151" s="111"/>
      <c r="BN151" s="111"/>
      <c r="BO151" s="117"/>
      <c r="BP151" s="111"/>
      <c r="BQ151" s="117"/>
      <c r="BR151" s="111"/>
      <c r="BS151" s="111"/>
      <c r="BT151" s="111"/>
      <c r="BU151" s="111"/>
      <c r="BV151" s="111"/>
      <c r="BW151" s="111"/>
      <c r="BX151" s="111"/>
      <c r="BY151" s="111"/>
      <c r="BZ151" s="111"/>
      <c r="CA151" s="111"/>
      <c r="CB151" s="111"/>
      <c r="CC151" s="111"/>
    </row>
    <row r="152" spans="1:81" ht="22.5" customHeight="1">
      <c r="A152" s="124"/>
      <c r="B152" s="124"/>
      <c r="C152" s="111"/>
      <c r="D152" s="111"/>
      <c r="E152" s="111"/>
      <c r="F152" s="116"/>
      <c r="G152" s="116"/>
      <c r="H152" s="116"/>
      <c r="I152" s="116"/>
      <c r="J152" s="111"/>
      <c r="K152" s="111"/>
      <c r="L152" s="122"/>
      <c r="M152" s="116"/>
      <c r="N152" s="124"/>
      <c r="O152" s="111"/>
      <c r="P152" s="111"/>
      <c r="Q152" s="111"/>
      <c r="R152" s="111"/>
      <c r="S152" s="116"/>
      <c r="T152" s="111"/>
      <c r="U152" s="111"/>
      <c r="V152" s="111"/>
      <c r="W152" s="111"/>
      <c r="X152" s="111"/>
      <c r="Y152" s="111"/>
      <c r="Z152" s="111"/>
      <c r="AA152" s="111"/>
      <c r="AB152" s="111"/>
      <c r="AC152" s="111"/>
      <c r="AD152" s="111"/>
      <c r="AE152" s="111"/>
      <c r="AF152" s="111"/>
      <c r="AG152" s="111"/>
      <c r="AH152" s="111"/>
      <c r="AI152" s="111"/>
      <c r="AJ152" s="111"/>
      <c r="AK152" s="111"/>
      <c r="AL152" s="111"/>
      <c r="AM152" s="125"/>
      <c r="AN152" s="111"/>
      <c r="AO152" s="111"/>
      <c r="AP152" s="111"/>
      <c r="AQ152" s="109"/>
      <c r="AR152" s="110"/>
      <c r="AS152" s="111"/>
      <c r="AT152" s="118"/>
      <c r="AU152" s="113"/>
      <c r="AV152" s="114"/>
      <c r="AW152" s="115"/>
      <c r="AX152" s="116"/>
      <c r="AY152" s="111"/>
      <c r="AZ152" s="111"/>
      <c r="BA152" s="111"/>
      <c r="BB152" s="111"/>
      <c r="BC152" s="111"/>
      <c r="BD152" s="111"/>
      <c r="BE152" s="111"/>
      <c r="BF152" s="111"/>
      <c r="BG152" s="111"/>
      <c r="BH152" s="116"/>
      <c r="BI152" s="111"/>
      <c r="BJ152" s="111"/>
      <c r="BK152" s="111"/>
      <c r="BL152" s="111"/>
      <c r="BM152" s="111"/>
      <c r="BN152" s="111"/>
      <c r="BO152" s="117"/>
      <c r="BP152" s="111"/>
      <c r="BQ152" s="117"/>
      <c r="BR152" s="111"/>
      <c r="BS152" s="111"/>
      <c r="BT152" s="111"/>
      <c r="BU152" s="111"/>
      <c r="BV152" s="111"/>
      <c r="BW152" s="111"/>
      <c r="BX152" s="111"/>
      <c r="BY152" s="111"/>
      <c r="BZ152" s="111"/>
      <c r="CA152" s="111"/>
      <c r="CB152" s="111"/>
      <c r="CC152" s="111"/>
    </row>
    <row r="153" spans="1:81" ht="16.5" customHeight="1">
      <c r="A153" s="124"/>
      <c r="B153" s="124"/>
      <c r="C153" s="111"/>
      <c r="D153" s="111"/>
      <c r="E153" s="111"/>
      <c r="F153" s="116"/>
      <c r="G153" s="116"/>
      <c r="H153" s="116"/>
      <c r="I153" s="116"/>
      <c r="J153" s="111"/>
      <c r="K153" s="111"/>
      <c r="L153" s="122"/>
      <c r="M153" s="116"/>
      <c r="N153" s="124"/>
      <c r="O153" s="111"/>
      <c r="P153" s="111"/>
      <c r="Q153" s="111"/>
      <c r="R153" s="111"/>
      <c r="S153" s="116"/>
      <c r="T153" s="111"/>
      <c r="U153" s="111"/>
      <c r="V153" s="111"/>
      <c r="W153" s="111"/>
      <c r="X153" s="111"/>
      <c r="Y153" s="111"/>
      <c r="Z153" s="111"/>
      <c r="AA153" s="111"/>
      <c r="AB153" s="111"/>
      <c r="AC153" s="111"/>
      <c r="AD153" s="111"/>
      <c r="AE153" s="111"/>
      <c r="AF153" s="111"/>
      <c r="AG153" s="111"/>
      <c r="AH153" s="111"/>
      <c r="AI153" s="111"/>
      <c r="AJ153" s="111"/>
      <c r="AK153" s="111"/>
      <c r="AL153" s="111"/>
      <c r="AM153" s="125"/>
      <c r="AN153" s="111"/>
      <c r="AO153" s="111"/>
      <c r="AP153" s="111"/>
      <c r="AQ153" s="109"/>
      <c r="AR153" s="110"/>
      <c r="AS153" s="111"/>
      <c r="AT153" s="118"/>
      <c r="AU153" s="113"/>
      <c r="AV153" s="114"/>
      <c r="AW153" s="115"/>
      <c r="AX153" s="116"/>
      <c r="AY153" s="111"/>
      <c r="AZ153" s="111"/>
      <c r="BA153" s="111"/>
      <c r="BB153" s="111"/>
      <c r="BC153" s="111"/>
      <c r="BD153" s="111"/>
      <c r="BE153" s="111"/>
      <c r="BF153" s="111"/>
      <c r="BG153" s="111"/>
      <c r="BH153" s="116"/>
      <c r="BI153" s="111"/>
      <c r="BJ153" s="111"/>
      <c r="BK153" s="111"/>
      <c r="BL153" s="111"/>
      <c r="BM153" s="111"/>
      <c r="BN153" s="111"/>
      <c r="BO153" s="117"/>
      <c r="BP153" s="111"/>
      <c r="BQ153" s="117"/>
      <c r="BR153" s="111"/>
      <c r="BS153" s="111"/>
      <c r="BT153" s="111"/>
      <c r="BU153" s="111"/>
      <c r="BV153" s="111"/>
      <c r="BW153" s="111"/>
      <c r="BX153" s="111"/>
      <c r="BY153" s="111"/>
      <c r="BZ153" s="111"/>
      <c r="CA153" s="111"/>
      <c r="CB153" s="111"/>
      <c r="CC153" s="111"/>
    </row>
    <row r="154" spans="1:81" ht="10.5" customHeight="1">
      <c r="A154" s="124"/>
      <c r="B154" s="124"/>
      <c r="C154" s="111"/>
      <c r="D154" s="111"/>
      <c r="E154" s="111"/>
      <c r="F154" s="116"/>
      <c r="G154" s="116"/>
      <c r="H154" s="116"/>
      <c r="I154" s="116"/>
      <c r="J154" s="111"/>
      <c r="K154" s="111"/>
      <c r="L154" s="122"/>
      <c r="M154" s="116"/>
      <c r="N154" s="124"/>
      <c r="O154" s="111"/>
      <c r="P154" s="111"/>
      <c r="Q154" s="111"/>
      <c r="R154" s="111"/>
      <c r="S154" s="116"/>
      <c r="T154" s="111"/>
      <c r="U154" s="111"/>
      <c r="V154" s="111"/>
      <c r="W154" s="111"/>
      <c r="X154" s="111"/>
      <c r="Y154" s="111"/>
      <c r="Z154" s="111"/>
      <c r="AA154" s="111"/>
      <c r="AB154" s="111"/>
      <c r="AC154" s="111"/>
      <c r="AD154" s="111"/>
      <c r="AE154" s="111"/>
      <c r="AF154" s="111"/>
      <c r="AG154" s="111"/>
      <c r="AH154" s="111"/>
      <c r="AI154" s="111"/>
      <c r="AJ154" s="111"/>
      <c r="AK154" s="111"/>
      <c r="AL154" s="111"/>
      <c r="AM154" s="125"/>
      <c r="AN154" s="111"/>
      <c r="AO154" s="111"/>
      <c r="AP154" s="111"/>
      <c r="AQ154" s="109"/>
      <c r="AR154" s="110"/>
      <c r="AS154" s="111"/>
      <c r="AT154" s="118"/>
      <c r="AU154" s="113"/>
      <c r="AV154" s="114"/>
      <c r="AW154" s="115"/>
      <c r="AX154" s="116"/>
      <c r="AY154" s="111"/>
      <c r="AZ154" s="111"/>
      <c r="BA154" s="111"/>
      <c r="BB154" s="111"/>
      <c r="BC154" s="111"/>
      <c r="BD154" s="111"/>
      <c r="BE154" s="111"/>
      <c r="BF154" s="111"/>
      <c r="BG154" s="111"/>
      <c r="BH154" s="116"/>
      <c r="BI154" s="111"/>
      <c r="BJ154" s="111"/>
      <c r="BK154" s="111"/>
      <c r="BL154" s="111"/>
      <c r="BM154" s="111"/>
      <c r="BN154" s="111"/>
      <c r="BO154" s="117"/>
      <c r="BP154" s="111"/>
      <c r="BQ154" s="117"/>
      <c r="BR154" s="111"/>
      <c r="BS154" s="111"/>
      <c r="BT154" s="111"/>
      <c r="BU154" s="111"/>
      <c r="BV154" s="111"/>
      <c r="BW154" s="111"/>
      <c r="BX154" s="111"/>
      <c r="BY154" s="111"/>
      <c r="BZ154" s="111"/>
      <c r="CA154" s="111"/>
      <c r="CB154" s="111"/>
      <c r="CC154" s="111"/>
    </row>
    <row r="155" spans="1:81" ht="10.5" customHeight="1">
      <c r="A155" s="124"/>
      <c r="B155" s="101"/>
      <c r="C155" s="102"/>
      <c r="D155" s="102"/>
      <c r="E155" s="102"/>
      <c r="F155" s="137"/>
      <c r="G155" s="137"/>
      <c r="H155" s="137"/>
      <c r="I155" s="116"/>
      <c r="J155" s="102"/>
      <c r="K155" s="102"/>
      <c r="L155" s="105"/>
      <c r="M155" s="106"/>
      <c r="N155" s="101"/>
      <c r="O155" s="111"/>
      <c r="P155" s="111"/>
      <c r="Q155" s="102"/>
      <c r="R155" s="102"/>
      <c r="S155" s="106"/>
      <c r="T155" s="111"/>
      <c r="U155" s="111"/>
      <c r="V155" s="102"/>
      <c r="W155" s="102"/>
      <c r="X155" s="111"/>
      <c r="Y155" s="102"/>
      <c r="Z155" s="102"/>
      <c r="AA155" s="102"/>
      <c r="AB155" s="102"/>
      <c r="AC155" s="102"/>
      <c r="AD155" s="102"/>
      <c r="AE155" s="102"/>
      <c r="AF155" s="102"/>
      <c r="AG155" s="102"/>
      <c r="AH155" s="102"/>
      <c r="AI155" s="102"/>
      <c r="AJ155" s="102"/>
      <c r="AK155" s="102"/>
      <c r="AL155" s="138"/>
      <c r="AM155" s="108"/>
      <c r="AN155" s="138"/>
      <c r="AO155" s="138"/>
      <c r="AP155" s="138"/>
      <c r="AQ155" s="127">
        <f>SUM(S155,X155,AA155,AD155,AG155,AJ155,AM155,AP155)</f>
        <v>0</v>
      </c>
      <c r="AR155" s="128">
        <f t="shared" ref="AR155:AR160" si="32">AQ155+H155*E155+I155+L155+M155</f>
        <v>0</v>
      </c>
      <c r="AS155" s="111"/>
      <c r="AT155" s="118"/>
      <c r="AU155" s="129" t="str">
        <f>IF(AND(AR155&gt;0,AT155=0),"Chưa TT",IF(AT155-AR155&gt;0,"Thừa",IF(AND(AR155=0,AT155=0),"Trống",IF(AND(AT155&gt;0,AR155=0),"Đóng cọc",IF(AT155-AR155&lt;0,"Thiếu",IF(AT155-AR155=0,"Đủ",0))))))</f>
        <v>Trống</v>
      </c>
      <c r="AV155" s="135"/>
      <c r="AW155" s="131"/>
      <c r="AX155" s="106"/>
      <c r="AY155" s="102"/>
      <c r="AZ155" s="102"/>
      <c r="BA155" s="102"/>
      <c r="BB155" s="102"/>
      <c r="BC155" s="102"/>
      <c r="BD155" s="102"/>
      <c r="BE155" s="102"/>
      <c r="BF155" s="102"/>
      <c r="BG155" s="102"/>
      <c r="BH155" s="106"/>
      <c r="BI155" s="102"/>
      <c r="BJ155" s="102"/>
      <c r="BK155" s="102"/>
      <c r="BL155" s="102"/>
      <c r="BM155" s="102"/>
      <c r="BN155" s="102"/>
      <c r="BO155" s="132"/>
      <c r="BP155" s="102"/>
      <c r="BQ155" s="132"/>
      <c r="BR155" s="102"/>
      <c r="BS155" s="102"/>
      <c r="BT155" s="102"/>
      <c r="BU155" s="102"/>
      <c r="BV155" s="102"/>
      <c r="BW155" s="102"/>
      <c r="BX155" s="102"/>
      <c r="BY155" s="102"/>
      <c r="BZ155" s="102"/>
      <c r="CA155" s="102"/>
      <c r="CB155" s="102"/>
      <c r="CC155" s="102"/>
    </row>
    <row r="156" spans="1:81" ht="10.5" customHeight="1">
      <c r="A156" s="124"/>
      <c r="B156" s="101"/>
      <c r="C156" s="102"/>
      <c r="D156" s="102"/>
      <c r="E156" s="102"/>
      <c r="F156" s="137"/>
      <c r="G156" s="137"/>
      <c r="H156" s="137"/>
      <c r="I156" s="116"/>
      <c r="J156" s="102"/>
      <c r="K156" s="102"/>
      <c r="L156" s="105"/>
      <c r="M156" s="106"/>
      <c r="N156" s="101"/>
      <c r="O156" s="111"/>
      <c r="P156" s="111"/>
      <c r="Q156" s="102"/>
      <c r="R156" s="102"/>
      <c r="S156" s="106"/>
      <c r="T156" s="111"/>
      <c r="U156" s="111"/>
      <c r="V156" s="102"/>
      <c r="W156" s="102"/>
      <c r="X156" s="111"/>
      <c r="Y156" s="102"/>
      <c r="Z156" s="102"/>
      <c r="AA156" s="102"/>
      <c r="AB156" s="102"/>
      <c r="AC156" s="102"/>
      <c r="AD156" s="102"/>
      <c r="AE156" s="102"/>
      <c r="AF156" s="102"/>
      <c r="AG156" s="102"/>
      <c r="AH156" s="102"/>
      <c r="AI156" s="102"/>
      <c r="AJ156" s="102"/>
      <c r="AK156" s="102"/>
      <c r="AL156" s="138"/>
      <c r="AM156" s="108"/>
      <c r="AN156" s="138"/>
      <c r="AO156" s="138"/>
      <c r="AP156" s="138"/>
      <c r="AQ156" s="127">
        <f>SUM(S156,X156,AA156,AD156,AG156,AJ156,AM156,AP156)</f>
        <v>0</v>
      </c>
      <c r="AR156" s="128">
        <f t="shared" si="32"/>
        <v>0</v>
      </c>
      <c r="AS156" s="111"/>
      <c r="AT156" s="118"/>
      <c r="AU156" s="129" t="str">
        <f>IF(AND(AR156&gt;0,AT156=0),"Chưa TT",IF(AT156-AR156&gt;0,"Thừa",IF(AND(AR156=0,AT156=0),"Trống",IF(AND(AT156&gt;0,AR156=0),"Đóng cọc",IF(AT156-AR156&lt;0,"Thiếu",IF(AT156-AR156=0,"Đủ",0))))))</f>
        <v>Trống</v>
      </c>
      <c r="AV156" s="135"/>
      <c r="AW156" s="131"/>
      <c r="AX156" s="106"/>
      <c r="AY156" s="102"/>
      <c r="AZ156" s="102"/>
      <c r="BA156" s="102"/>
      <c r="BB156" s="102"/>
      <c r="BC156" s="102"/>
      <c r="BD156" s="102"/>
      <c r="BE156" s="102"/>
      <c r="BF156" s="102"/>
      <c r="BG156" s="102"/>
      <c r="BH156" s="106"/>
      <c r="BI156" s="102"/>
      <c r="BJ156" s="102"/>
      <c r="BK156" s="102"/>
      <c r="BL156" s="102"/>
      <c r="BM156" s="102"/>
      <c r="BN156" s="102"/>
      <c r="BO156" s="132"/>
      <c r="BP156" s="102"/>
      <c r="BQ156" s="132"/>
      <c r="BR156" s="102"/>
      <c r="BS156" s="102"/>
      <c r="BT156" s="102"/>
      <c r="BU156" s="102"/>
      <c r="BV156" s="102"/>
      <c r="BW156" s="102"/>
      <c r="BX156" s="102"/>
      <c r="BY156" s="102"/>
      <c r="BZ156" s="102"/>
      <c r="CA156" s="102"/>
      <c r="CB156" s="102"/>
      <c r="CC156" s="102"/>
    </row>
    <row r="157" spans="1:81" ht="10.5" customHeight="1">
      <c r="A157" s="124"/>
      <c r="B157" s="101"/>
      <c r="C157" s="102"/>
      <c r="D157" s="102"/>
      <c r="E157" s="102"/>
      <c r="F157" s="137"/>
      <c r="G157" s="137"/>
      <c r="H157" s="137"/>
      <c r="I157" s="116"/>
      <c r="J157" s="102"/>
      <c r="K157" s="102"/>
      <c r="L157" s="105"/>
      <c r="M157" s="106"/>
      <c r="N157" s="101"/>
      <c r="O157" s="111"/>
      <c r="P157" s="111"/>
      <c r="Q157" s="102"/>
      <c r="R157" s="102"/>
      <c r="S157" s="106"/>
      <c r="T157" s="111"/>
      <c r="U157" s="111"/>
      <c r="V157" s="102"/>
      <c r="W157" s="102"/>
      <c r="X157" s="111"/>
      <c r="Y157" s="102"/>
      <c r="Z157" s="102"/>
      <c r="AA157" s="102"/>
      <c r="AB157" s="102"/>
      <c r="AC157" s="102"/>
      <c r="AD157" s="102"/>
      <c r="AE157" s="102"/>
      <c r="AF157" s="102"/>
      <c r="AG157" s="102"/>
      <c r="AH157" s="102"/>
      <c r="AI157" s="102"/>
      <c r="AJ157" s="102"/>
      <c r="AK157" s="102"/>
      <c r="AL157" s="138"/>
      <c r="AM157" s="108"/>
      <c r="AN157" s="138"/>
      <c r="AO157" s="138"/>
      <c r="AP157" s="138"/>
      <c r="AQ157" s="127">
        <f>SUM(S157,X157,AA157,AD157,AG157,AJ157,AM157,AP157)</f>
        <v>0</v>
      </c>
      <c r="AR157" s="128">
        <f t="shared" si="32"/>
        <v>0</v>
      </c>
      <c r="AS157" s="111"/>
      <c r="AT157" s="118"/>
      <c r="AU157" s="129" t="str">
        <f>IF(AND(AR157&gt;0,AT157=0),"Chưa TT",IF(AT157-AR157&gt;0,"Thừa",IF(AND(AR157=0,AT157=0),"Trống",IF(AND(AT157&gt;0,AR157=0),"Đóng cọc",IF(AT157-AR157&lt;0,"Thiếu",IF(AT157-AR157=0,"Đủ",0))))))</f>
        <v>Trống</v>
      </c>
      <c r="AV157" s="135"/>
      <c r="AW157" s="131"/>
      <c r="AX157" s="106"/>
      <c r="AY157" s="102"/>
      <c r="AZ157" s="102"/>
      <c r="BA157" s="102"/>
      <c r="BB157" s="102"/>
      <c r="BC157" s="102"/>
      <c r="BD157" s="102"/>
      <c r="BE157" s="102"/>
      <c r="BF157" s="102"/>
      <c r="BG157" s="102"/>
      <c r="BH157" s="106"/>
      <c r="BI157" s="102"/>
      <c r="BJ157" s="102"/>
      <c r="BK157" s="102"/>
      <c r="BL157" s="102"/>
      <c r="BM157" s="102"/>
      <c r="BN157" s="102"/>
      <c r="BO157" s="132"/>
      <c r="BP157" s="102"/>
      <c r="BQ157" s="132"/>
      <c r="BR157" s="102"/>
      <c r="BS157" s="102"/>
      <c r="BT157" s="102"/>
      <c r="BU157" s="102"/>
      <c r="BV157" s="102"/>
      <c r="BW157" s="102"/>
      <c r="BX157" s="102"/>
      <c r="BY157" s="102"/>
      <c r="BZ157" s="102"/>
      <c r="CA157" s="102"/>
      <c r="CB157" s="102"/>
      <c r="CC157" s="102"/>
    </row>
    <row r="158" spans="1:81" ht="10.5" customHeight="1">
      <c r="A158" s="124"/>
      <c r="B158" s="101"/>
      <c r="C158" s="102"/>
      <c r="D158" s="102"/>
      <c r="E158" s="102"/>
      <c r="F158" s="137"/>
      <c r="G158" s="137"/>
      <c r="H158" s="137"/>
      <c r="I158" s="116"/>
      <c r="J158" s="102"/>
      <c r="K158" s="102"/>
      <c r="L158" s="105"/>
      <c r="M158" s="106"/>
      <c r="N158" s="101"/>
      <c r="O158" s="111"/>
      <c r="P158" s="111"/>
      <c r="Q158" s="102"/>
      <c r="R158" s="102"/>
      <c r="S158" s="106"/>
      <c r="T158" s="111"/>
      <c r="U158" s="111"/>
      <c r="V158" s="102"/>
      <c r="W158" s="102"/>
      <c r="X158" s="111"/>
      <c r="Y158" s="102"/>
      <c r="Z158" s="102"/>
      <c r="AA158" s="102"/>
      <c r="AB158" s="102"/>
      <c r="AC158" s="102"/>
      <c r="AD158" s="102"/>
      <c r="AE158" s="102"/>
      <c r="AF158" s="102"/>
      <c r="AG158" s="102"/>
      <c r="AH158" s="102"/>
      <c r="AI158" s="102"/>
      <c r="AJ158" s="102"/>
      <c r="AK158" s="102"/>
      <c r="AL158" s="138"/>
      <c r="AM158" s="108"/>
      <c r="AN158" s="138"/>
      <c r="AO158" s="138"/>
      <c r="AP158" s="138"/>
      <c r="AQ158" s="127">
        <f>SUM(S158,X158,AA158,AD158,AG158,AJ158,AM158,AP158)</f>
        <v>0</v>
      </c>
      <c r="AR158" s="128">
        <f t="shared" si="32"/>
        <v>0</v>
      </c>
      <c r="AS158" s="111"/>
      <c r="AT158" s="118"/>
      <c r="AU158" s="129" t="str">
        <f>IF(AND(AR158&gt;0,AT158=0),"Chưa TT",IF(AT158-AR158&gt;0,"Thừa",IF(AND(AR158=0,AT158=0),"Trống",IF(AND(AT158&gt;0,AR158=0),"Đóng cọc",IF(AT158-AR158&lt;0,"Thiếu",IF(AT158-AR158=0,"Đủ",0))))))</f>
        <v>Trống</v>
      </c>
      <c r="AV158" s="135"/>
      <c r="AW158" s="131"/>
      <c r="AX158" s="106"/>
      <c r="AY158" s="102"/>
      <c r="AZ158" s="102"/>
      <c r="BA158" s="102"/>
      <c r="BB158" s="102"/>
      <c r="BC158" s="102"/>
      <c r="BD158" s="102"/>
      <c r="BE158" s="102"/>
      <c r="BF158" s="102"/>
      <c r="BG158" s="102"/>
      <c r="BH158" s="106"/>
      <c r="BI158" s="102"/>
      <c r="BJ158" s="102"/>
      <c r="BK158" s="102"/>
      <c r="BL158" s="102"/>
      <c r="BM158" s="102"/>
      <c r="BN158" s="102"/>
      <c r="BO158" s="132"/>
      <c r="BP158" s="102"/>
      <c r="BQ158" s="132"/>
      <c r="BR158" s="102"/>
      <c r="BS158" s="102"/>
      <c r="BT158" s="102"/>
      <c r="BU158" s="102"/>
      <c r="BV158" s="102"/>
      <c r="BW158" s="102"/>
      <c r="BX158" s="102"/>
      <c r="BY158" s="102"/>
      <c r="BZ158" s="102"/>
      <c r="CA158" s="102"/>
      <c r="CB158" s="102"/>
      <c r="CC158" s="102"/>
    </row>
    <row r="159" spans="1:81" ht="10.5" customHeight="1">
      <c r="A159" s="124"/>
      <c r="B159" s="101"/>
      <c r="C159" s="102"/>
      <c r="D159" s="102"/>
      <c r="E159" s="102"/>
      <c r="F159" s="137"/>
      <c r="G159" s="137"/>
      <c r="H159" s="137"/>
      <c r="I159" s="116"/>
      <c r="J159" s="102"/>
      <c r="K159" s="102"/>
      <c r="L159" s="105"/>
      <c r="M159" s="106"/>
      <c r="N159" s="101"/>
      <c r="O159" s="111"/>
      <c r="P159" s="111"/>
      <c r="Q159" s="102"/>
      <c r="R159" s="102"/>
      <c r="S159" s="106"/>
      <c r="T159" s="111"/>
      <c r="U159" s="111"/>
      <c r="V159" s="102"/>
      <c r="W159" s="102"/>
      <c r="X159" s="111"/>
      <c r="Y159" s="102"/>
      <c r="Z159" s="102"/>
      <c r="AA159" s="102"/>
      <c r="AB159" s="102"/>
      <c r="AC159" s="102"/>
      <c r="AD159" s="102"/>
      <c r="AE159" s="102"/>
      <c r="AF159" s="102"/>
      <c r="AG159" s="102"/>
      <c r="AH159" s="102"/>
      <c r="AI159" s="102"/>
      <c r="AJ159" s="102"/>
      <c r="AK159" s="102"/>
      <c r="AL159" s="138"/>
      <c r="AM159" s="108"/>
      <c r="AN159" s="138"/>
      <c r="AO159" s="138"/>
      <c r="AP159" s="138"/>
      <c r="AQ159" s="127">
        <f>SUM(S159,X159,AA159,AD159,AG159,AJ159,AM159,AP159)</f>
        <v>0</v>
      </c>
      <c r="AR159" s="128">
        <f t="shared" si="32"/>
        <v>0</v>
      </c>
      <c r="AS159" s="111"/>
      <c r="AT159" s="118"/>
      <c r="AU159" s="102"/>
      <c r="AV159" s="135"/>
      <c r="AW159" s="131"/>
      <c r="AX159" s="106"/>
      <c r="AY159" s="102"/>
      <c r="AZ159" s="102"/>
      <c r="BA159" s="102"/>
      <c r="BB159" s="102"/>
      <c r="BC159" s="102"/>
      <c r="BD159" s="102"/>
      <c r="BE159" s="102"/>
      <c r="BF159" s="102"/>
      <c r="BG159" s="102"/>
      <c r="BH159" s="106"/>
      <c r="BI159" s="102"/>
      <c r="BJ159" s="102"/>
      <c r="BK159" s="102"/>
      <c r="BL159" s="102"/>
      <c r="BM159" s="102"/>
      <c r="BN159" s="102"/>
      <c r="BO159" s="132"/>
      <c r="BP159" s="102"/>
      <c r="BQ159" s="132"/>
      <c r="BR159" s="102"/>
      <c r="BS159" s="102"/>
      <c r="BT159" s="102"/>
      <c r="BU159" s="102"/>
      <c r="BV159" s="102"/>
      <c r="BW159" s="102"/>
      <c r="BX159" s="102"/>
      <c r="BY159" s="102"/>
      <c r="BZ159" s="102"/>
      <c r="CA159" s="102"/>
      <c r="CB159" s="102"/>
      <c r="CC159" s="102"/>
    </row>
    <row r="160" spans="1:81" ht="10.5" customHeight="1">
      <c r="A160" s="124"/>
      <c r="B160" s="101"/>
      <c r="C160" s="102"/>
      <c r="D160" s="102"/>
      <c r="E160" s="102"/>
      <c r="F160" s="137"/>
      <c r="G160" s="137"/>
      <c r="H160" s="137"/>
      <c r="I160" s="116"/>
      <c r="J160" s="102"/>
      <c r="K160" s="102"/>
      <c r="L160" s="105"/>
      <c r="M160" s="106"/>
      <c r="N160" s="101"/>
      <c r="O160" s="111"/>
      <c r="P160" s="111"/>
      <c r="Q160" s="102"/>
      <c r="R160" s="102"/>
      <c r="S160" s="106"/>
      <c r="T160" s="111"/>
      <c r="U160" s="111"/>
      <c r="V160" s="102"/>
      <c r="W160" s="102"/>
      <c r="X160" s="111"/>
      <c r="Y160" s="102"/>
      <c r="Z160" s="102"/>
      <c r="AA160" s="102"/>
      <c r="AB160" s="102"/>
      <c r="AC160" s="102"/>
      <c r="AD160" s="102"/>
      <c r="AE160" s="102"/>
      <c r="AF160" s="102"/>
      <c r="AG160" s="102"/>
      <c r="AH160" s="102"/>
      <c r="AI160" s="102"/>
      <c r="AJ160" s="102"/>
      <c r="AK160" s="102"/>
      <c r="AL160" s="138"/>
      <c r="AM160" s="108"/>
      <c r="AN160" s="138"/>
      <c r="AO160" s="138"/>
      <c r="AP160" s="138"/>
      <c r="AQ160" s="108"/>
      <c r="AR160" s="128">
        <f t="shared" si="32"/>
        <v>0</v>
      </c>
      <c r="AS160" s="111"/>
      <c r="AT160" s="118"/>
      <c r="AU160" s="102"/>
      <c r="AV160" s="135"/>
      <c r="AW160" s="131"/>
      <c r="AX160" s="106"/>
      <c r="AY160" s="102"/>
      <c r="AZ160" s="102"/>
      <c r="BA160" s="102"/>
      <c r="BB160" s="102"/>
      <c r="BC160" s="102"/>
      <c r="BD160" s="102"/>
      <c r="BE160" s="102"/>
      <c r="BF160" s="102"/>
      <c r="BG160" s="102"/>
      <c r="BH160" s="106"/>
      <c r="BI160" s="102"/>
      <c r="BJ160" s="102"/>
      <c r="BK160" s="102"/>
      <c r="BL160" s="102"/>
      <c r="BM160" s="102"/>
      <c r="BN160" s="102"/>
      <c r="BO160" s="132"/>
      <c r="BP160" s="102"/>
      <c r="BQ160" s="132"/>
      <c r="BR160" s="102"/>
      <c r="BS160" s="102"/>
      <c r="BT160" s="102"/>
      <c r="BU160" s="102"/>
      <c r="BV160" s="102"/>
      <c r="BW160" s="102"/>
      <c r="BX160" s="102"/>
      <c r="BY160" s="102"/>
      <c r="BZ160" s="102"/>
      <c r="CA160" s="102"/>
      <c r="CB160" s="102"/>
      <c r="CC160" s="102"/>
    </row>
    <row r="161" spans="1:81" ht="10.5" customHeight="1">
      <c r="A161" s="124"/>
      <c r="B161" s="101"/>
      <c r="C161" s="102"/>
      <c r="D161" s="102"/>
      <c r="E161" s="102"/>
      <c r="F161" s="137"/>
      <c r="G161" s="137"/>
      <c r="H161" s="137"/>
      <c r="I161" s="116"/>
      <c r="J161" s="102"/>
      <c r="K161" s="102"/>
      <c r="L161" s="105"/>
      <c r="M161" s="106"/>
      <c r="N161" s="101"/>
      <c r="O161" s="111"/>
      <c r="P161" s="111"/>
      <c r="Q161" s="102"/>
      <c r="R161" s="102"/>
      <c r="S161" s="106"/>
      <c r="T161" s="111"/>
      <c r="U161" s="111"/>
      <c r="V161" s="102"/>
      <c r="W161" s="102"/>
      <c r="X161" s="111"/>
      <c r="Y161" s="102"/>
      <c r="Z161" s="102"/>
      <c r="AA161" s="102"/>
      <c r="AB161" s="102"/>
      <c r="AC161" s="102"/>
      <c r="AD161" s="102"/>
      <c r="AE161" s="102"/>
      <c r="AF161" s="102"/>
      <c r="AG161" s="102"/>
      <c r="AH161" s="102"/>
      <c r="AI161" s="102"/>
      <c r="AJ161" s="102"/>
      <c r="AK161" s="102"/>
      <c r="AL161" s="138"/>
      <c r="AM161" s="108"/>
      <c r="AN161" s="138"/>
      <c r="AO161" s="138"/>
      <c r="AP161" s="138"/>
      <c r="AQ161" s="108"/>
      <c r="AR161" s="108"/>
      <c r="AS161" s="111"/>
      <c r="AT161" s="118"/>
      <c r="AU161" s="102"/>
      <c r="AV161" s="135"/>
      <c r="AW161" s="131"/>
      <c r="AX161" s="106"/>
      <c r="AY161" s="102"/>
      <c r="AZ161" s="102"/>
      <c r="BA161" s="102"/>
      <c r="BB161" s="102"/>
      <c r="BC161" s="102"/>
      <c r="BD161" s="102"/>
      <c r="BE161" s="102"/>
      <c r="BF161" s="102"/>
      <c r="BG161" s="102"/>
      <c r="BH161" s="106"/>
      <c r="BI161" s="102"/>
      <c r="BJ161" s="102"/>
      <c r="BK161" s="102"/>
      <c r="BL161" s="102"/>
      <c r="BM161" s="102"/>
      <c r="BN161" s="102"/>
      <c r="BO161" s="132"/>
      <c r="BP161" s="102"/>
      <c r="BQ161" s="132"/>
      <c r="BR161" s="102"/>
      <c r="BS161" s="102"/>
      <c r="BT161" s="102"/>
      <c r="BU161" s="102"/>
      <c r="BV161" s="102"/>
      <c r="BW161" s="102"/>
      <c r="BX161" s="102"/>
      <c r="BY161" s="102"/>
      <c r="BZ161" s="102"/>
      <c r="CA161" s="102"/>
      <c r="CB161" s="102"/>
      <c r="CC161" s="102"/>
    </row>
    <row r="162" spans="1:81" ht="10.5" customHeight="1">
      <c r="A162" s="124"/>
      <c r="B162" s="101"/>
      <c r="C162" s="102"/>
      <c r="D162" s="102"/>
      <c r="E162" s="102"/>
      <c r="F162" s="137"/>
      <c r="G162" s="137"/>
      <c r="H162" s="137"/>
      <c r="I162" s="116"/>
      <c r="J162" s="102"/>
      <c r="K162" s="102"/>
      <c r="L162" s="105"/>
      <c r="M162" s="106"/>
      <c r="N162" s="101"/>
      <c r="O162" s="111"/>
      <c r="P162" s="111"/>
      <c r="Q162" s="102"/>
      <c r="R162" s="102"/>
      <c r="S162" s="106"/>
      <c r="T162" s="111"/>
      <c r="U162" s="111"/>
      <c r="V162" s="102"/>
      <c r="W162" s="102"/>
      <c r="X162" s="111"/>
      <c r="Y162" s="102"/>
      <c r="Z162" s="102"/>
      <c r="AA162" s="102"/>
      <c r="AB162" s="102"/>
      <c r="AC162" s="102"/>
      <c r="AD162" s="102"/>
      <c r="AE162" s="102"/>
      <c r="AF162" s="102"/>
      <c r="AG162" s="102"/>
      <c r="AH162" s="102"/>
      <c r="AI162" s="102"/>
      <c r="AJ162" s="102"/>
      <c r="AK162" s="102"/>
      <c r="AL162" s="138"/>
      <c r="AM162" s="108"/>
      <c r="AN162" s="138"/>
      <c r="AO162" s="138"/>
      <c r="AP162" s="138"/>
      <c r="AQ162" s="108"/>
      <c r="AR162" s="108"/>
      <c r="AS162" s="111"/>
      <c r="AT162" s="118"/>
      <c r="AU162" s="102"/>
      <c r="AV162" s="135"/>
      <c r="AW162" s="131"/>
      <c r="AX162" s="106"/>
      <c r="AY162" s="102"/>
      <c r="AZ162" s="102"/>
      <c r="BA162" s="102"/>
      <c r="BB162" s="102"/>
      <c r="BC162" s="102"/>
      <c r="BD162" s="102"/>
      <c r="BE162" s="102"/>
      <c r="BF162" s="102"/>
      <c r="BG162" s="102"/>
      <c r="BH162" s="106"/>
      <c r="BI162" s="102"/>
      <c r="BJ162" s="102"/>
      <c r="BK162" s="102"/>
      <c r="BL162" s="102"/>
      <c r="BM162" s="102"/>
      <c r="BN162" s="102"/>
      <c r="BO162" s="132"/>
      <c r="BP162" s="102"/>
      <c r="BQ162" s="132"/>
      <c r="BR162" s="102"/>
      <c r="BS162" s="102"/>
      <c r="BT162" s="102"/>
      <c r="BU162" s="102"/>
      <c r="BV162" s="102"/>
      <c r="BW162" s="102"/>
      <c r="BX162" s="102"/>
      <c r="BY162" s="102"/>
      <c r="BZ162" s="102"/>
      <c r="CA162" s="102"/>
      <c r="CB162" s="102"/>
      <c r="CC162" s="102"/>
    </row>
    <row r="163" spans="1:81" ht="10.5" customHeight="1">
      <c r="A163" s="124"/>
      <c r="B163" s="101"/>
      <c r="C163" s="102"/>
      <c r="D163" s="102"/>
      <c r="E163" s="102"/>
      <c r="F163" s="137"/>
      <c r="G163" s="137"/>
      <c r="H163" s="137"/>
      <c r="I163" s="116"/>
      <c r="J163" s="102"/>
      <c r="K163" s="102"/>
      <c r="L163" s="105"/>
      <c r="M163" s="106"/>
      <c r="N163" s="101"/>
      <c r="O163" s="111"/>
      <c r="P163" s="111"/>
      <c r="Q163" s="102"/>
      <c r="R163" s="102"/>
      <c r="S163" s="106"/>
      <c r="T163" s="111"/>
      <c r="U163" s="111"/>
      <c r="V163" s="102"/>
      <c r="W163" s="102"/>
      <c r="X163" s="111"/>
      <c r="Y163" s="102"/>
      <c r="Z163" s="102"/>
      <c r="AA163" s="102"/>
      <c r="AB163" s="102"/>
      <c r="AC163" s="102"/>
      <c r="AD163" s="102"/>
      <c r="AE163" s="102"/>
      <c r="AF163" s="102"/>
      <c r="AG163" s="102"/>
      <c r="AH163" s="102"/>
      <c r="AI163" s="102"/>
      <c r="AJ163" s="102"/>
      <c r="AK163" s="102"/>
      <c r="AL163" s="138"/>
      <c r="AM163" s="108"/>
      <c r="AN163" s="138"/>
      <c r="AO163" s="138"/>
      <c r="AP163" s="138"/>
      <c r="AQ163" s="108"/>
      <c r="AR163" s="108"/>
      <c r="AS163" s="111"/>
      <c r="AT163" s="118"/>
      <c r="AU163" s="102"/>
      <c r="AV163" s="135"/>
      <c r="AW163" s="131"/>
      <c r="AX163" s="106"/>
      <c r="AY163" s="102"/>
      <c r="AZ163" s="102"/>
      <c r="BA163" s="102"/>
      <c r="BB163" s="102"/>
      <c r="BC163" s="102"/>
      <c r="BD163" s="102"/>
      <c r="BE163" s="102"/>
      <c r="BF163" s="102"/>
      <c r="BG163" s="102"/>
      <c r="BH163" s="106"/>
      <c r="BI163" s="102"/>
      <c r="BJ163" s="102"/>
      <c r="BK163" s="102"/>
      <c r="BL163" s="102"/>
      <c r="BM163" s="102"/>
      <c r="BN163" s="102"/>
      <c r="BO163" s="132"/>
      <c r="BP163" s="102"/>
      <c r="BQ163" s="132"/>
      <c r="BR163" s="102"/>
      <c r="BS163" s="102"/>
      <c r="BT163" s="102"/>
      <c r="BU163" s="102"/>
      <c r="BV163" s="102"/>
      <c r="BW163" s="102"/>
      <c r="BX163" s="102"/>
      <c r="BY163" s="102"/>
      <c r="BZ163" s="102"/>
      <c r="CA163" s="102"/>
      <c r="CB163" s="102"/>
      <c r="CC163" s="102"/>
    </row>
    <row r="164" spans="1:81" ht="10.5" customHeight="1">
      <c r="A164" s="124"/>
      <c r="B164" s="101"/>
      <c r="C164" s="102"/>
      <c r="D164" s="102"/>
      <c r="E164" s="102"/>
      <c r="F164" s="137"/>
      <c r="G164" s="137"/>
      <c r="H164" s="137"/>
      <c r="I164" s="116"/>
      <c r="J164" s="102"/>
      <c r="K164" s="102"/>
      <c r="L164" s="105"/>
      <c r="M164" s="106"/>
      <c r="N164" s="101"/>
      <c r="O164" s="111"/>
      <c r="P164" s="111"/>
      <c r="Q164" s="102"/>
      <c r="R164" s="102"/>
      <c r="S164" s="106"/>
      <c r="T164" s="111"/>
      <c r="U164" s="111"/>
      <c r="V164" s="102"/>
      <c r="W164" s="102"/>
      <c r="X164" s="111"/>
      <c r="Y164" s="102"/>
      <c r="Z164" s="102"/>
      <c r="AA164" s="102"/>
      <c r="AB164" s="102"/>
      <c r="AC164" s="102"/>
      <c r="AD164" s="102"/>
      <c r="AE164" s="102"/>
      <c r="AF164" s="102"/>
      <c r="AG164" s="102"/>
      <c r="AH164" s="102"/>
      <c r="AI164" s="102"/>
      <c r="AJ164" s="102"/>
      <c r="AK164" s="102"/>
      <c r="AL164" s="138"/>
      <c r="AM164" s="108"/>
      <c r="AN164" s="138"/>
      <c r="AO164" s="138"/>
      <c r="AP164" s="138"/>
      <c r="AQ164" s="108"/>
      <c r="AR164" s="108"/>
      <c r="AS164" s="111"/>
      <c r="AT164" s="118"/>
      <c r="AU164" s="102"/>
      <c r="AV164" s="135"/>
      <c r="AW164" s="131"/>
      <c r="AX164" s="106"/>
      <c r="AY164" s="102"/>
      <c r="AZ164" s="102"/>
      <c r="BA164" s="102"/>
      <c r="BB164" s="102"/>
      <c r="BC164" s="102"/>
      <c r="BD164" s="102"/>
      <c r="BE164" s="102"/>
      <c r="BF164" s="102"/>
      <c r="BG164" s="102"/>
      <c r="BH164" s="106"/>
      <c r="BI164" s="102"/>
      <c r="BJ164" s="102"/>
      <c r="BK164" s="102"/>
      <c r="BL164" s="102"/>
      <c r="BM164" s="102"/>
      <c r="BN164" s="102"/>
      <c r="BO164" s="132"/>
      <c r="BP164" s="102"/>
      <c r="BQ164" s="132"/>
      <c r="BR164" s="102"/>
      <c r="BS164" s="102"/>
      <c r="BT164" s="102"/>
      <c r="BU164" s="102"/>
      <c r="BV164" s="102"/>
      <c r="BW164" s="102"/>
      <c r="BX164" s="102"/>
      <c r="BY164" s="102"/>
      <c r="BZ164" s="102"/>
      <c r="CA164" s="102"/>
      <c r="CB164" s="102"/>
      <c r="CC164" s="102"/>
    </row>
    <row r="165" spans="1:81" ht="10.5" customHeight="1">
      <c r="A165" s="124"/>
      <c r="B165" s="101"/>
      <c r="C165" s="102"/>
      <c r="D165" s="102"/>
      <c r="E165" s="102"/>
      <c r="F165" s="137"/>
      <c r="G165" s="137"/>
      <c r="H165" s="137"/>
      <c r="I165" s="116"/>
      <c r="J165" s="102"/>
      <c r="K165" s="102"/>
      <c r="L165" s="105"/>
      <c r="M165" s="106"/>
      <c r="N165" s="101"/>
      <c r="O165" s="111"/>
      <c r="P165" s="111"/>
      <c r="Q165" s="102"/>
      <c r="R165" s="102"/>
      <c r="S165" s="106"/>
      <c r="T165" s="111"/>
      <c r="U165" s="111"/>
      <c r="V165" s="102"/>
      <c r="W165" s="102"/>
      <c r="X165" s="111"/>
      <c r="Y165" s="102"/>
      <c r="Z165" s="102"/>
      <c r="AA165" s="102"/>
      <c r="AB165" s="102"/>
      <c r="AC165" s="102"/>
      <c r="AD165" s="102"/>
      <c r="AE165" s="102"/>
      <c r="AF165" s="102"/>
      <c r="AG165" s="102"/>
      <c r="AH165" s="102"/>
      <c r="AI165" s="102"/>
      <c r="AJ165" s="102"/>
      <c r="AK165" s="102"/>
      <c r="AL165" s="138"/>
      <c r="AM165" s="108"/>
      <c r="AN165" s="138"/>
      <c r="AO165" s="138"/>
      <c r="AP165" s="138"/>
      <c r="AQ165" s="108"/>
      <c r="AR165" s="108"/>
      <c r="AS165" s="111"/>
      <c r="AT165" s="118"/>
      <c r="AU165" s="102"/>
      <c r="AV165" s="135"/>
      <c r="AW165" s="131"/>
      <c r="AX165" s="106"/>
      <c r="AY165" s="102"/>
      <c r="AZ165" s="102"/>
      <c r="BA165" s="102"/>
      <c r="BB165" s="102"/>
      <c r="BC165" s="102"/>
      <c r="BD165" s="102"/>
      <c r="BE165" s="102"/>
      <c r="BF165" s="102"/>
      <c r="BG165" s="102"/>
      <c r="BH165" s="106"/>
      <c r="BI165" s="102"/>
      <c r="BJ165" s="102"/>
      <c r="BK165" s="102"/>
      <c r="BL165" s="102"/>
      <c r="BM165" s="102"/>
      <c r="BN165" s="102"/>
      <c r="BO165" s="132"/>
      <c r="BP165" s="102"/>
      <c r="BQ165" s="132"/>
      <c r="BR165" s="102"/>
      <c r="BS165" s="102"/>
      <c r="BT165" s="102"/>
      <c r="BU165" s="102"/>
      <c r="BV165" s="102"/>
      <c r="BW165" s="102"/>
      <c r="BX165" s="102"/>
      <c r="BY165" s="102"/>
      <c r="BZ165" s="102"/>
      <c r="CA165" s="102"/>
      <c r="CB165" s="102"/>
      <c r="CC165" s="102"/>
    </row>
    <row r="166" spans="1:81" ht="10.5" customHeight="1">
      <c r="A166" s="124"/>
      <c r="B166" s="101"/>
      <c r="C166" s="102"/>
      <c r="D166" s="102"/>
      <c r="E166" s="102"/>
      <c r="F166" s="137"/>
      <c r="G166" s="137"/>
      <c r="H166" s="137"/>
      <c r="I166" s="116"/>
      <c r="J166" s="102"/>
      <c r="K166" s="102"/>
      <c r="L166" s="105"/>
      <c r="M166" s="106"/>
      <c r="N166" s="101"/>
      <c r="O166" s="111"/>
      <c r="P166" s="111"/>
      <c r="Q166" s="102"/>
      <c r="R166" s="102"/>
      <c r="S166" s="106"/>
      <c r="T166" s="111"/>
      <c r="U166" s="111"/>
      <c r="V166" s="102"/>
      <c r="W166" s="102"/>
      <c r="X166" s="111"/>
      <c r="Y166" s="102"/>
      <c r="Z166" s="102"/>
      <c r="AA166" s="102"/>
      <c r="AB166" s="102"/>
      <c r="AC166" s="102"/>
      <c r="AD166" s="102"/>
      <c r="AE166" s="102"/>
      <c r="AF166" s="102"/>
      <c r="AG166" s="102"/>
      <c r="AH166" s="102"/>
      <c r="AI166" s="102"/>
      <c r="AJ166" s="102"/>
      <c r="AK166" s="102"/>
      <c r="AL166" s="138"/>
      <c r="AM166" s="108"/>
      <c r="AN166" s="138"/>
      <c r="AO166" s="138"/>
      <c r="AP166" s="138"/>
      <c r="AQ166" s="108"/>
      <c r="AR166" s="108"/>
      <c r="AS166" s="111"/>
      <c r="AT166" s="118"/>
      <c r="AU166" s="102"/>
      <c r="AV166" s="135"/>
      <c r="AW166" s="131"/>
      <c r="AX166" s="106"/>
      <c r="AY166" s="102"/>
      <c r="AZ166" s="102"/>
      <c r="BA166" s="102"/>
      <c r="BB166" s="102"/>
      <c r="BC166" s="102"/>
      <c r="BD166" s="102"/>
      <c r="BE166" s="102"/>
      <c r="BF166" s="102"/>
      <c r="BG166" s="102"/>
      <c r="BH166" s="106"/>
      <c r="BI166" s="102"/>
      <c r="BJ166" s="102"/>
      <c r="BK166" s="102"/>
      <c r="BL166" s="102"/>
      <c r="BM166" s="102"/>
      <c r="BN166" s="102"/>
      <c r="BO166" s="132"/>
      <c r="BP166" s="102"/>
      <c r="BQ166" s="132"/>
      <c r="BR166" s="102"/>
      <c r="BS166" s="102"/>
      <c r="BT166" s="102"/>
      <c r="BU166" s="102"/>
      <c r="BV166" s="102"/>
      <c r="BW166" s="102"/>
      <c r="BX166" s="102"/>
      <c r="BY166" s="102"/>
      <c r="BZ166" s="102"/>
      <c r="CA166" s="102"/>
      <c r="CB166" s="102"/>
      <c r="CC166" s="102"/>
    </row>
    <row r="167" spans="1:81" ht="10.5" customHeight="1">
      <c r="A167" s="124"/>
      <c r="B167" s="101"/>
      <c r="C167" s="102"/>
      <c r="D167" s="102"/>
      <c r="E167" s="102"/>
      <c r="F167" s="137"/>
      <c r="G167" s="137"/>
      <c r="H167" s="137"/>
      <c r="I167" s="116"/>
      <c r="J167" s="102"/>
      <c r="K167" s="102"/>
      <c r="L167" s="105"/>
      <c r="M167" s="106"/>
      <c r="N167" s="101"/>
      <c r="O167" s="111"/>
      <c r="P167" s="111"/>
      <c r="Q167" s="102"/>
      <c r="R167" s="102"/>
      <c r="S167" s="106"/>
      <c r="T167" s="111"/>
      <c r="U167" s="111"/>
      <c r="V167" s="102"/>
      <c r="W167" s="102"/>
      <c r="X167" s="111"/>
      <c r="Y167" s="102"/>
      <c r="Z167" s="102"/>
      <c r="AA167" s="102"/>
      <c r="AB167" s="102"/>
      <c r="AC167" s="102"/>
      <c r="AD167" s="102"/>
      <c r="AE167" s="102"/>
      <c r="AF167" s="102"/>
      <c r="AG167" s="102"/>
      <c r="AH167" s="102"/>
      <c r="AI167" s="102"/>
      <c r="AJ167" s="102"/>
      <c r="AK167" s="102"/>
      <c r="AL167" s="138"/>
      <c r="AM167" s="108"/>
      <c r="AN167" s="138"/>
      <c r="AO167" s="138"/>
      <c r="AP167" s="138"/>
      <c r="AQ167" s="108"/>
      <c r="AR167" s="108"/>
      <c r="AS167" s="111"/>
      <c r="AT167" s="118"/>
      <c r="AU167" s="102"/>
      <c r="AV167" s="135"/>
      <c r="AW167" s="131"/>
      <c r="AX167" s="106"/>
      <c r="AY167" s="102"/>
      <c r="AZ167" s="102"/>
      <c r="BA167" s="102"/>
      <c r="BB167" s="102"/>
      <c r="BC167" s="102"/>
      <c r="BD167" s="102"/>
      <c r="BE167" s="102"/>
      <c r="BF167" s="102"/>
      <c r="BG167" s="102"/>
      <c r="BH167" s="106"/>
      <c r="BI167" s="102"/>
      <c r="BJ167" s="102"/>
      <c r="BK167" s="102"/>
      <c r="BL167" s="102"/>
      <c r="BM167" s="102"/>
      <c r="BN167" s="102"/>
      <c r="BO167" s="132"/>
      <c r="BP167" s="102"/>
      <c r="BQ167" s="132"/>
      <c r="BR167" s="102"/>
      <c r="BS167" s="102"/>
      <c r="BT167" s="102"/>
      <c r="BU167" s="102"/>
      <c r="BV167" s="102"/>
      <c r="BW167" s="102"/>
      <c r="BX167" s="102"/>
      <c r="BY167" s="102"/>
      <c r="BZ167" s="102"/>
      <c r="CA167" s="102"/>
      <c r="CB167" s="102"/>
      <c r="CC167" s="102"/>
    </row>
    <row r="168" spans="1:81" ht="10.5" customHeight="1">
      <c r="A168" s="124"/>
      <c r="B168" s="101"/>
      <c r="C168" s="102"/>
      <c r="D168" s="102"/>
      <c r="E168" s="102"/>
      <c r="F168" s="137"/>
      <c r="G168" s="137"/>
      <c r="H168" s="137"/>
      <c r="I168" s="116"/>
      <c r="J168" s="102"/>
      <c r="K168" s="102"/>
      <c r="L168" s="105"/>
      <c r="M168" s="106"/>
      <c r="N168" s="101"/>
      <c r="O168" s="111"/>
      <c r="P168" s="111"/>
      <c r="Q168" s="102"/>
      <c r="R168" s="102"/>
      <c r="S168" s="106"/>
      <c r="T168" s="111"/>
      <c r="U168" s="111"/>
      <c r="V168" s="102"/>
      <c r="W168" s="102"/>
      <c r="X168" s="111"/>
      <c r="Y168" s="102"/>
      <c r="Z168" s="102"/>
      <c r="AA168" s="102"/>
      <c r="AB168" s="102"/>
      <c r="AC168" s="102"/>
      <c r="AD168" s="102"/>
      <c r="AE168" s="102"/>
      <c r="AF168" s="102"/>
      <c r="AG168" s="102"/>
      <c r="AH168" s="102"/>
      <c r="AI168" s="102"/>
      <c r="AJ168" s="102"/>
      <c r="AK168" s="102"/>
      <c r="AL168" s="138"/>
      <c r="AM168" s="108"/>
      <c r="AN168" s="138"/>
      <c r="AO168" s="138"/>
      <c r="AP168" s="138"/>
      <c r="AQ168" s="108"/>
      <c r="AR168" s="108"/>
      <c r="AS168" s="111"/>
      <c r="AT168" s="118"/>
      <c r="AU168" s="102"/>
      <c r="AV168" s="135"/>
      <c r="AW168" s="131"/>
      <c r="AX168" s="106"/>
      <c r="AY168" s="102"/>
      <c r="AZ168" s="102"/>
      <c r="BA168" s="102"/>
      <c r="BB168" s="102"/>
      <c r="BC168" s="102"/>
      <c r="BD168" s="102"/>
      <c r="BE168" s="102"/>
      <c r="BF168" s="102"/>
      <c r="BG168" s="102"/>
      <c r="BH168" s="106"/>
      <c r="BI168" s="102"/>
      <c r="BJ168" s="102"/>
      <c r="BK168" s="102"/>
      <c r="BL168" s="102"/>
      <c r="BM168" s="102"/>
      <c r="BN168" s="102"/>
      <c r="BO168" s="132"/>
      <c r="BP168" s="102"/>
      <c r="BQ168" s="132"/>
      <c r="BR168" s="102"/>
      <c r="BS168" s="102"/>
      <c r="BT168" s="102"/>
      <c r="BU168" s="102"/>
      <c r="BV168" s="102"/>
      <c r="BW168" s="102"/>
      <c r="BX168" s="102"/>
      <c r="BY168" s="102"/>
      <c r="BZ168" s="102"/>
      <c r="CA168" s="102"/>
      <c r="CB168" s="102"/>
      <c r="CC168" s="102"/>
    </row>
    <row r="169" spans="1:81" ht="10.5" customHeight="1">
      <c r="A169" s="124"/>
      <c r="B169" s="101"/>
      <c r="C169" s="102"/>
      <c r="D169" s="102"/>
      <c r="E169" s="102"/>
      <c r="F169" s="137"/>
      <c r="G169" s="137"/>
      <c r="H169" s="137"/>
      <c r="I169" s="116"/>
      <c r="J169" s="102"/>
      <c r="K169" s="102"/>
      <c r="L169" s="105"/>
      <c r="M169" s="106"/>
      <c r="N169" s="101"/>
      <c r="O169" s="111"/>
      <c r="P169" s="111"/>
      <c r="Q169" s="102"/>
      <c r="R169" s="102"/>
      <c r="S169" s="106"/>
      <c r="T169" s="111"/>
      <c r="U169" s="111"/>
      <c r="V169" s="102"/>
      <c r="W169" s="102"/>
      <c r="X169" s="111"/>
      <c r="Y169" s="102"/>
      <c r="Z169" s="102"/>
      <c r="AA169" s="102"/>
      <c r="AB169" s="102"/>
      <c r="AC169" s="102"/>
      <c r="AD169" s="102"/>
      <c r="AE169" s="102"/>
      <c r="AF169" s="102"/>
      <c r="AG169" s="102"/>
      <c r="AH169" s="102"/>
      <c r="AI169" s="102"/>
      <c r="AJ169" s="102"/>
      <c r="AK169" s="102"/>
      <c r="AL169" s="138"/>
      <c r="AM169" s="108"/>
      <c r="AN169" s="138"/>
      <c r="AO169" s="138"/>
      <c r="AP169" s="138"/>
      <c r="AQ169" s="108"/>
      <c r="AR169" s="108"/>
      <c r="AS169" s="111"/>
      <c r="AT169" s="118"/>
      <c r="AU169" s="102"/>
      <c r="AV169" s="135"/>
      <c r="AW169" s="131"/>
      <c r="AX169" s="106"/>
      <c r="AY169" s="102"/>
      <c r="AZ169" s="102"/>
      <c r="BA169" s="102"/>
      <c r="BB169" s="102"/>
      <c r="BC169" s="102"/>
      <c r="BD169" s="102"/>
      <c r="BE169" s="102"/>
      <c r="BF169" s="102"/>
      <c r="BG169" s="102"/>
      <c r="BH169" s="106"/>
      <c r="BI169" s="102"/>
      <c r="BJ169" s="102"/>
      <c r="BK169" s="102"/>
      <c r="BL169" s="102"/>
      <c r="BM169" s="102"/>
      <c r="BN169" s="102"/>
      <c r="BO169" s="132"/>
      <c r="BP169" s="102"/>
      <c r="BQ169" s="132"/>
      <c r="BR169" s="102"/>
      <c r="BS169" s="102"/>
      <c r="BT169" s="102"/>
      <c r="BU169" s="102"/>
      <c r="BV169" s="102"/>
      <c r="BW169" s="102"/>
      <c r="BX169" s="102"/>
      <c r="BY169" s="102"/>
      <c r="BZ169" s="102"/>
      <c r="CA169" s="102"/>
      <c r="CB169" s="102"/>
      <c r="CC169" s="102"/>
    </row>
    <row r="170" spans="1:81" ht="10.5" customHeight="1">
      <c r="A170" s="124"/>
      <c r="B170" s="101"/>
      <c r="C170" s="102"/>
      <c r="D170" s="102"/>
      <c r="E170" s="102"/>
      <c r="F170" s="137"/>
      <c r="G170" s="137"/>
      <c r="H170" s="137"/>
      <c r="I170" s="116"/>
      <c r="J170" s="102"/>
      <c r="K170" s="102"/>
      <c r="L170" s="105"/>
      <c r="M170" s="106"/>
      <c r="N170" s="101"/>
      <c r="O170" s="111"/>
      <c r="P170" s="111"/>
      <c r="Q170" s="102"/>
      <c r="R170" s="102"/>
      <c r="S170" s="106"/>
      <c r="T170" s="111"/>
      <c r="U170" s="111"/>
      <c r="V170" s="102"/>
      <c r="W170" s="102"/>
      <c r="X170" s="111"/>
      <c r="Y170" s="102"/>
      <c r="Z170" s="102"/>
      <c r="AA170" s="102"/>
      <c r="AB170" s="102"/>
      <c r="AC170" s="102"/>
      <c r="AD170" s="102"/>
      <c r="AE170" s="102"/>
      <c r="AF170" s="102"/>
      <c r="AG170" s="102"/>
      <c r="AH170" s="102"/>
      <c r="AI170" s="102"/>
      <c r="AJ170" s="102"/>
      <c r="AK170" s="102"/>
      <c r="AL170" s="138"/>
      <c r="AM170" s="108"/>
      <c r="AN170" s="138"/>
      <c r="AO170" s="138"/>
      <c r="AP170" s="138"/>
      <c r="AQ170" s="108"/>
      <c r="AR170" s="108"/>
      <c r="AS170" s="111"/>
      <c r="AT170" s="118"/>
      <c r="AU170" s="102"/>
      <c r="AV170" s="135"/>
      <c r="AW170" s="131"/>
      <c r="AX170" s="106"/>
      <c r="AY170" s="102"/>
      <c r="AZ170" s="102"/>
      <c r="BA170" s="102"/>
      <c r="BB170" s="102"/>
      <c r="BC170" s="102"/>
      <c r="BD170" s="102"/>
      <c r="BE170" s="102"/>
      <c r="BF170" s="102"/>
      <c r="BG170" s="102"/>
      <c r="BH170" s="106"/>
      <c r="BI170" s="102"/>
      <c r="BJ170" s="102"/>
      <c r="BK170" s="102"/>
      <c r="BL170" s="102"/>
      <c r="BM170" s="102"/>
      <c r="BN170" s="102"/>
      <c r="BO170" s="132"/>
      <c r="BP170" s="102"/>
      <c r="BQ170" s="132"/>
      <c r="BR170" s="102"/>
      <c r="BS170" s="102"/>
      <c r="BT170" s="102"/>
      <c r="BU170" s="102"/>
      <c r="BV170" s="102"/>
      <c r="BW170" s="102"/>
      <c r="BX170" s="102"/>
      <c r="BY170" s="102"/>
      <c r="BZ170" s="102"/>
      <c r="CA170" s="102"/>
      <c r="CB170" s="102"/>
      <c r="CC170" s="102"/>
    </row>
    <row r="171" spans="1:81" ht="10.5" customHeight="1">
      <c r="A171" s="124"/>
      <c r="B171" s="101"/>
      <c r="C171" s="102"/>
      <c r="D171" s="102"/>
      <c r="E171" s="102"/>
      <c r="F171" s="137"/>
      <c r="G171" s="137"/>
      <c r="H171" s="137"/>
      <c r="I171" s="116"/>
      <c r="J171" s="102"/>
      <c r="K171" s="102"/>
      <c r="L171" s="105"/>
      <c r="M171" s="106"/>
      <c r="N171" s="101"/>
      <c r="O171" s="111"/>
      <c r="P171" s="111"/>
      <c r="Q171" s="102"/>
      <c r="R171" s="102"/>
      <c r="S171" s="106"/>
      <c r="T171" s="111"/>
      <c r="U171" s="111"/>
      <c r="V171" s="102"/>
      <c r="W171" s="102"/>
      <c r="X171" s="111"/>
      <c r="Y171" s="102"/>
      <c r="Z171" s="102"/>
      <c r="AA171" s="102"/>
      <c r="AB171" s="102"/>
      <c r="AC171" s="102"/>
      <c r="AD171" s="102"/>
      <c r="AE171" s="102"/>
      <c r="AF171" s="102"/>
      <c r="AG171" s="102"/>
      <c r="AH171" s="102"/>
      <c r="AI171" s="102"/>
      <c r="AJ171" s="102"/>
      <c r="AK171" s="102"/>
      <c r="AL171" s="138"/>
      <c r="AM171" s="108"/>
      <c r="AN171" s="138"/>
      <c r="AO171" s="138"/>
      <c r="AP171" s="138"/>
      <c r="AQ171" s="108"/>
      <c r="AR171" s="108"/>
      <c r="AS171" s="111"/>
      <c r="AT171" s="118"/>
      <c r="AU171" s="102"/>
      <c r="AV171" s="135"/>
      <c r="AW171" s="131"/>
      <c r="AX171" s="106"/>
      <c r="AY171" s="102"/>
      <c r="AZ171" s="102"/>
      <c r="BA171" s="102"/>
      <c r="BB171" s="102"/>
      <c r="BC171" s="102"/>
      <c r="BD171" s="102"/>
      <c r="BE171" s="102"/>
      <c r="BF171" s="102"/>
      <c r="BG171" s="102"/>
      <c r="BH171" s="106"/>
      <c r="BI171" s="102"/>
      <c r="BJ171" s="102"/>
      <c r="BK171" s="102"/>
      <c r="BL171" s="102"/>
      <c r="BM171" s="102"/>
      <c r="BN171" s="102"/>
      <c r="BO171" s="132"/>
      <c r="BP171" s="102"/>
      <c r="BQ171" s="132"/>
      <c r="BR171" s="102"/>
      <c r="BS171" s="102"/>
      <c r="BT171" s="102"/>
      <c r="BU171" s="102"/>
      <c r="BV171" s="102"/>
      <c r="BW171" s="102"/>
      <c r="BX171" s="102"/>
      <c r="BY171" s="102"/>
      <c r="BZ171" s="102"/>
      <c r="CA171" s="102"/>
      <c r="CB171" s="102"/>
      <c r="CC171" s="102"/>
    </row>
    <row r="172" spans="1:81" ht="10.5" customHeight="1">
      <c r="A172" s="124"/>
      <c r="B172" s="101"/>
      <c r="C172" s="102"/>
      <c r="D172" s="102"/>
      <c r="E172" s="102"/>
      <c r="F172" s="137"/>
      <c r="G172" s="137"/>
      <c r="H172" s="137"/>
      <c r="I172" s="116"/>
      <c r="J172" s="102"/>
      <c r="K172" s="102"/>
      <c r="L172" s="105"/>
      <c r="M172" s="106"/>
      <c r="N172" s="101"/>
      <c r="O172" s="111"/>
      <c r="P172" s="111"/>
      <c r="Q172" s="102"/>
      <c r="R172" s="102"/>
      <c r="S172" s="106"/>
      <c r="T172" s="111"/>
      <c r="U172" s="111"/>
      <c r="V172" s="102"/>
      <c r="W172" s="102"/>
      <c r="X172" s="111"/>
      <c r="Y172" s="102"/>
      <c r="Z172" s="102"/>
      <c r="AA172" s="102"/>
      <c r="AB172" s="102"/>
      <c r="AC172" s="102"/>
      <c r="AD172" s="102"/>
      <c r="AE172" s="102"/>
      <c r="AF172" s="102"/>
      <c r="AG172" s="102"/>
      <c r="AH172" s="102"/>
      <c r="AI172" s="102"/>
      <c r="AJ172" s="102"/>
      <c r="AK172" s="102"/>
      <c r="AL172" s="138"/>
      <c r="AM172" s="108"/>
      <c r="AN172" s="138"/>
      <c r="AO172" s="138"/>
      <c r="AP172" s="138"/>
      <c r="AQ172" s="108"/>
      <c r="AR172" s="108"/>
      <c r="AS172" s="111"/>
      <c r="AT172" s="118"/>
      <c r="AU172" s="102"/>
      <c r="AV172" s="135"/>
      <c r="AW172" s="131"/>
      <c r="AX172" s="106"/>
      <c r="AY172" s="102"/>
      <c r="AZ172" s="102"/>
      <c r="BA172" s="102"/>
      <c r="BB172" s="102"/>
      <c r="BC172" s="102"/>
      <c r="BD172" s="102"/>
      <c r="BE172" s="102"/>
      <c r="BF172" s="102"/>
      <c r="BG172" s="102"/>
      <c r="BH172" s="106"/>
      <c r="BI172" s="102"/>
      <c r="BJ172" s="102"/>
      <c r="BK172" s="102"/>
      <c r="BL172" s="102"/>
      <c r="BM172" s="102"/>
      <c r="BN172" s="102"/>
      <c r="BO172" s="132"/>
      <c r="BP172" s="102"/>
      <c r="BQ172" s="132"/>
      <c r="BR172" s="102"/>
      <c r="BS172" s="102"/>
      <c r="BT172" s="102"/>
      <c r="BU172" s="102"/>
      <c r="BV172" s="102"/>
      <c r="BW172" s="102"/>
      <c r="BX172" s="102"/>
      <c r="BY172" s="102"/>
      <c r="BZ172" s="102"/>
      <c r="CA172" s="102"/>
      <c r="CB172" s="102"/>
      <c r="CC172" s="102"/>
    </row>
    <row r="173" spans="1:81" ht="10.5" customHeight="1">
      <c r="A173" s="124"/>
      <c r="B173" s="101"/>
      <c r="C173" s="102"/>
      <c r="D173" s="102"/>
      <c r="E173" s="102"/>
      <c r="F173" s="137"/>
      <c r="G173" s="137"/>
      <c r="H173" s="137"/>
      <c r="I173" s="116"/>
      <c r="J173" s="102"/>
      <c r="K173" s="102"/>
      <c r="L173" s="105"/>
      <c r="M173" s="106"/>
      <c r="N173" s="101"/>
      <c r="O173" s="111"/>
      <c r="P173" s="111"/>
      <c r="Q173" s="102"/>
      <c r="R173" s="102"/>
      <c r="S173" s="106"/>
      <c r="T173" s="111"/>
      <c r="U173" s="111"/>
      <c r="V173" s="102"/>
      <c r="W173" s="102"/>
      <c r="X173" s="111"/>
      <c r="Y173" s="102"/>
      <c r="Z173" s="102"/>
      <c r="AA173" s="102"/>
      <c r="AB173" s="102"/>
      <c r="AC173" s="102"/>
      <c r="AD173" s="102"/>
      <c r="AE173" s="102"/>
      <c r="AF173" s="102"/>
      <c r="AG173" s="102"/>
      <c r="AH173" s="102"/>
      <c r="AI173" s="102"/>
      <c r="AJ173" s="102"/>
      <c r="AK173" s="102"/>
      <c r="AL173" s="138"/>
      <c r="AM173" s="108"/>
      <c r="AN173" s="138"/>
      <c r="AO173" s="138"/>
      <c r="AP173" s="138"/>
      <c r="AQ173" s="108"/>
      <c r="AR173" s="108"/>
      <c r="AS173" s="111"/>
      <c r="AT173" s="118"/>
      <c r="AU173" s="102"/>
      <c r="AV173" s="135"/>
      <c r="AW173" s="131"/>
      <c r="AX173" s="106"/>
      <c r="AY173" s="102"/>
      <c r="AZ173" s="102"/>
      <c r="BA173" s="102"/>
      <c r="BB173" s="102"/>
      <c r="BC173" s="102"/>
      <c r="BD173" s="102"/>
      <c r="BE173" s="102"/>
      <c r="BF173" s="102"/>
      <c r="BG173" s="102"/>
      <c r="BH173" s="106"/>
      <c r="BI173" s="102"/>
      <c r="BJ173" s="102"/>
      <c r="BK173" s="102"/>
      <c r="BL173" s="102"/>
      <c r="BM173" s="102"/>
      <c r="BN173" s="102"/>
      <c r="BO173" s="132"/>
      <c r="BP173" s="102"/>
      <c r="BQ173" s="132"/>
      <c r="BR173" s="102"/>
      <c r="BS173" s="102"/>
      <c r="BT173" s="102"/>
      <c r="BU173" s="102"/>
      <c r="BV173" s="102"/>
      <c r="BW173" s="102"/>
      <c r="BX173" s="102"/>
      <c r="BY173" s="102"/>
      <c r="BZ173" s="102"/>
      <c r="CA173" s="102"/>
      <c r="CB173" s="102"/>
      <c r="CC173" s="102"/>
    </row>
    <row r="174" spans="1:81" ht="10.5" customHeight="1">
      <c r="A174" s="124"/>
      <c r="B174" s="101"/>
      <c r="C174" s="102"/>
      <c r="D174" s="102"/>
      <c r="E174" s="102"/>
      <c r="F174" s="137"/>
      <c r="G174" s="137"/>
      <c r="H174" s="137"/>
      <c r="I174" s="116"/>
      <c r="J174" s="102"/>
      <c r="K174" s="102"/>
      <c r="L174" s="105"/>
      <c r="M174" s="106"/>
      <c r="N174" s="101"/>
      <c r="O174" s="111"/>
      <c r="P174" s="111"/>
      <c r="Q174" s="102"/>
      <c r="R174" s="102"/>
      <c r="S174" s="106"/>
      <c r="T174" s="111"/>
      <c r="U174" s="111"/>
      <c r="V174" s="102"/>
      <c r="W174" s="102"/>
      <c r="X174" s="111"/>
      <c r="Y174" s="102"/>
      <c r="Z174" s="102"/>
      <c r="AA174" s="102"/>
      <c r="AB174" s="102"/>
      <c r="AC174" s="102"/>
      <c r="AD174" s="102"/>
      <c r="AE174" s="102"/>
      <c r="AF174" s="102"/>
      <c r="AG174" s="102"/>
      <c r="AH174" s="102"/>
      <c r="AI174" s="102"/>
      <c r="AJ174" s="102"/>
      <c r="AK174" s="102"/>
      <c r="AL174" s="138"/>
      <c r="AM174" s="108"/>
      <c r="AN174" s="138"/>
      <c r="AO174" s="138"/>
      <c r="AP174" s="138"/>
      <c r="AQ174" s="108"/>
      <c r="AR174" s="108"/>
      <c r="AS174" s="111"/>
      <c r="AT174" s="118"/>
      <c r="AU174" s="102"/>
      <c r="AV174" s="135"/>
      <c r="AW174" s="131"/>
      <c r="AX174" s="106"/>
      <c r="AY174" s="102"/>
      <c r="AZ174" s="102"/>
      <c r="BA174" s="102"/>
      <c r="BB174" s="102"/>
      <c r="BC174" s="102"/>
      <c r="BD174" s="102"/>
      <c r="BE174" s="102"/>
      <c r="BF174" s="102"/>
      <c r="BG174" s="102"/>
      <c r="BH174" s="106"/>
      <c r="BI174" s="102"/>
      <c r="BJ174" s="102"/>
      <c r="BK174" s="102"/>
      <c r="BL174" s="102"/>
      <c r="BM174" s="102"/>
      <c r="BN174" s="102"/>
      <c r="BO174" s="132"/>
      <c r="BP174" s="102"/>
      <c r="BQ174" s="132"/>
      <c r="BR174" s="102"/>
      <c r="BS174" s="102"/>
      <c r="BT174" s="102"/>
      <c r="BU174" s="102"/>
      <c r="BV174" s="102"/>
      <c r="BW174" s="102"/>
      <c r="BX174" s="102"/>
      <c r="BY174" s="102"/>
      <c r="BZ174" s="102"/>
      <c r="CA174" s="102"/>
      <c r="CB174" s="102"/>
      <c r="CC174" s="102"/>
    </row>
    <row r="175" spans="1:81" ht="10.5" customHeight="1">
      <c r="A175" s="124"/>
      <c r="B175" s="101"/>
      <c r="C175" s="102"/>
      <c r="D175" s="102"/>
      <c r="E175" s="102"/>
      <c r="F175" s="137"/>
      <c r="G175" s="137"/>
      <c r="H175" s="137"/>
      <c r="I175" s="116"/>
      <c r="J175" s="102"/>
      <c r="K175" s="102"/>
      <c r="L175" s="105"/>
      <c r="M175" s="106"/>
      <c r="N175" s="101"/>
      <c r="O175" s="111"/>
      <c r="P175" s="111"/>
      <c r="Q175" s="102"/>
      <c r="R175" s="102"/>
      <c r="S175" s="106"/>
      <c r="T175" s="111"/>
      <c r="U175" s="111"/>
      <c r="V175" s="102"/>
      <c r="W175" s="102"/>
      <c r="X175" s="111"/>
      <c r="Y175" s="102"/>
      <c r="Z175" s="102"/>
      <c r="AA175" s="102"/>
      <c r="AB175" s="102"/>
      <c r="AC175" s="102"/>
      <c r="AD175" s="102"/>
      <c r="AE175" s="102"/>
      <c r="AF175" s="102"/>
      <c r="AG175" s="102"/>
      <c r="AH175" s="102"/>
      <c r="AI175" s="102"/>
      <c r="AJ175" s="102"/>
      <c r="AK175" s="102"/>
      <c r="AL175" s="138"/>
      <c r="AM175" s="108"/>
      <c r="AN175" s="138"/>
      <c r="AO175" s="138"/>
      <c r="AP175" s="138"/>
      <c r="AQ175" s="108"/>
      <c r="AR175" s="108"/>
      <c r="AS175" s="111"/>
      <c r="AT175" s="118"/>
      <c r="AU175" s="102"/>
      <c r="AV175" s="135"/>
      <c r="AW175" s="131"/>
      <c r="AX175" s="106"/>
      <c r="AY175" s="102"/>
      <c r="AZ175" s="102"/>
      <c r="BA175" s="102"/>
      <c r="BB175" s="102"/>
      <c r="BC175" s="102"/>
      <c r="BD175" s="102"/>
      <c r="BE175" s="102"/>
      <c r="BF175" s="102"/>
      <c r="BG175" s="102"/>
      <c r="BH175" s="106"/>
      <c r="BI175" s="102"/>
      <c r="BJ175" s="102"/>
      <c r="BK175" s="102"/>
      <c r="BL175" s="102"/>
      <c r="BM175" s="102"/>
      <c r="BN175" s="102"/>
      <c r="BO175" s="132"/>
      <c r="BP175" s="102"/>
      <c r="BQ175" s="132"/>
      <c r="BR175" s="102"/>
      <c r="BS175" s="102"/>
      <c r="BT175" s="102"/>
      <c r="BU175" s="102"/>
      <c r="BV175" s="102"/>
      <c r="BW175" s="102"/>
      <c r="BX175" s="102"/>
      <c r="BY175" s="102"/>
      <c r="BZ175" s="102"/>
      <c r="CA175" s="102"/>
      <c r="CB175" s="102"/>
      <c r="CC175" s="102"/>
    </row>
    <row r="176" spans="1:81" ht="10.5" customHeight="1">
      <c r="A176" s="124"/>
      <c r="B176" s="101"/>
      <c r="C176" s="102"/>
      <c r="D176" s="102"/>
      <c r="E176" s="102"/>
      <c r="F176" s="137"/>
      <c r="G176" s="137"/>
      <c r="H176" s="137"/>
      <c r="I176" s="116"/>
      <c r="J176" s="102"/>
      <c r="K176" s="102"/>
      <c r="L176" s="105"/>
      <c r="M176" s="106"/>
      <c r="N176" s="101"/>
      <c r="O176" s="111"/>
      <c r="P176" s="111"/>
      <c r="Q176" s="102"/>
      <c r="R176" s="102"/>
      <c r="S176" s="106"/>
      <c r="T176" s="111"/>
      <c r="U176" s="111"/>
      <c r="V176" s="102"/>
      <c r="W176" s="102"/>
      <c r="X176" s="111"/>
      <c r="Y176" s="102"/>
      <c r="Z176" s="102"/>
      <c r="AA176" s="102"/>
      <c r="AB176" s="102"/>
      <c r="AC176" s="102"/>
      <c r="AD176" s="102"/>
      <c r="AE176" s="102"/>
      <c r="AF176" s="102"/>
      <c r="AG176" s="102"/>
      <c r="AH176" s="102"/>
      <c r="AI176" s="102"/>
      <c r="AJ176" s="102"/>
      <c r="AK176" s="102"/>
      <c r="AL176" s="138"/>
      <c r="AM176" s="108"/>
      <c r="AN176" s="138"/>
      <c r="AO176" s="138"/>
      <c r="AP176" s="138"/>
      <c r="AQ176" s="108"/>
      <c r="AR176" s="108"/>
      <c r="AS176" s="111"/>
      <c r="AT176" s="118"/>
      <c r="AU176" s="102"/>
      <c r="AV176" s="135"/>
      <c r="AW176" s="131"/>
      <c r="AX176" s="106"/>
      <c r="AY176" s="102"/>
      <c r="AZ176" s="102"/>
      <c r="BA176" s="102"/>
      <c r="BB176" s="102"/>
      <c r="BC176" s="102"/>
      <c r="BD176" s="102"/>
      <c r="BE176" s="102"/>
      <c r="BF176" s="102"/>
      <c r="BG176" s="102"/>
      <c r="BH176" s="106"/>
      <c r="BI176" s="102"/>
      <c r="BJ176" s="102"/>
      <c r="BK176" s="102"/>
      <c r="BL176" s="102"/>
      <c r="BM176" s="102"/>
      <c r="BN176" s="102"/>
      <c r="BO176" s="132"/>
      <c r="BP176" s="102"/>
      <c r="BQ176" s="132"/>
      <c r="BR176" s="102"/>
      <c r="BS176" s="102"/>
      <c r="BT176" s="102"/>
      <c r="BU176" s="102"/>
      <c r="BV176" s="102"/>
      <c r="BW176" s="102"/>
      <c r="BX176" s="102"/>
      <c r="BY176" s="102"/>
      <c r="BZ176" s="102"/>
      <c r="CA176" s="102"/>
      <c r="CB176" s="102"/>
      <c r="CC176" s="102"/>
    </row>
    <row r="177" spans="1:81" ht="10.5" customHeight="1">
      <c r="A177" s="124"/>
      <c r="B177" s="101"/>
      <c r="C177" s="102"/>
      <c r="D177" s="102"/>
      <c r="E177" s="102"/>
      <c r="F177" s="137"/>
      <c r="G177" s="137"/>
      <c r="H177" s="137"/>
      <c r="I177" s="116"/>
      <c r="J177" s="102"/>
      <c r="K177" s="102"/>
      <c r="L177" s="105"/>
      <c r="M177" s="106"/>
      <c r="N177" s="101"/>
      <c r="O177" s="111"/>
      <c r="P177" s="111"/>
      <c r="Q177" s="102"/>
      <c r="R177" s="102"/>
      <c r="S177" s="106"/>
      <c r="T177" s="111"/>
      <c r="U177" s="111"/>
      <c r="V177" s="102"/>
      <c r="W177" s="102"/>
      <c r="X177" s="111"/>
      <c r="Y177" s="102"/>
      <c r="Z177" s="102"/>
      <c r="AA177" s="102"/>
      <c r="AB177" s="102"/>
      <c r="AC177" s="102"/>
      <c r="AD177" s="102"/>
      <c r="AE177" s="102"/>
      <c r="AF177" s="102"/>
      <c r="AG177" s="102"/>
      <c r="AH177" s="102"/>
      <c r="AI177" s="102"/>
      <c r="AJ177" s="102"/>
      <c r="AK177" s="102"/>
      <c r="AL177" s="138"/>
      <c r="AM177" s="108"/>
      <c r="AN177" s="138"/>
      <c r="AO177" s="138"/>
      <c r="AP177" s="138"/>
      <c r="AQ177" s="108"/>
      <c r="AR177" s="108"/>
      <c r="AS177" s="111"/>
      <c r="AT177" s="118"/>
      <c r="AU177" s="102"/>
      <c r="AV177" s="135"/>
      <c r="AW177" s="131"/>
      <c r="AX177" s="106"/>
      <c r="AY177" s="102"/>
      <c r="AZ177" s="102"/>
      <c r="BA177" s="102"/>
      <c r="BB177" s="102"/>
      <c r="BC177" s="102"/>
      <c r="BD177" s="102"/>
      <c r="BE177" s="102"/>
      <c r="BF177" s="102"/>
      <c r="BG177" s="102"/>
      <c r="BH177" s="106"/>
      <c r="BI177" s="102"/>
      <c r="BJ177" s="102"/>
      <c r="BK177" s="102"/>
      <c r="BL177" s="102"/>
      <c r="BM177" s="102"/>
      <c r="BN177" s="102"/>
      <c r="BO177" s="132"/>
      <c r="BP177" s="102"/>
      <c r="BQ177" s="132"/>
      <c r="BR177" s="102"/>
      <c r="BS177" s="102"/>
      <c r="BT177" s="102"/>
      <c r="BU177" s="102"/>
      <c r="BV177" s="102"/>
      <c r="BW177" s="102"/>
      <c r="BX177" s="102"/>
      <c r="BY177" s="102"/>
      <c r="BZ177" s="102"/>
      <c r="CA177" s="102"/>
      <c r="CB177" s="102"/>
      <c r="CC177" s="102"/>
    </row>
    <row r="178" spans="1:81" ht="10.5" customHeight="1">
      <c r="A178" s="124"/>
      <c r="B178" s="101"/>
      <c r="C178" s="102"/>
      <c r="D178" s="102"/>
      <c r="E178" s="102"/>
      <c r="F178" s="137"/>
      <c r="G178" s="137"/>
      <c r="H178" s="137"/>
      <c r="I178" s="116"/>
      <c r="J178" s="102"/>
      <c r="K178" s="102"/>
      <c r="L178" s="105"/>
      <c r="M178" s="106"/>
      <c r="N178" s="101"/>
      <c r="O178" s="111"/>
      <c r="P178" s="111"/>
      <c r="Q178" s="102"/>
      <c r="R178" s="102"/>
      <c r="S178" s="106"/>
      <c r="T178" s="111"/>
      <c r="U178" s="111"/>
      <c r="V178" s="102"/>
      <c r="W178" s="102"/>
      <c r="X178" s="111"/>
      <c r="Y178" s="102"/>
      <c r="Z178" s="102"/>
      <c r="AA178" s="102"/>
      <c r="AB178" s="102"/>
      <c r="AC178" s="102"/>
      <c r="AD178" s="102"/>
      <c r="AE178" s="102"/>
      <c r="AF178" s="102"/>
      <c r="AG178" s="102"/>
      <c r="AH178" s="102"/>
      <c r="AI178" s="102"/>
      <c r="AJ178" s="102"/>
      <c r="AK178" s="102"/>
      <c r="AL178" s="138"/>
      <c r="AM178" s="108"/>
      <c r="AN178" s="138"/>
      <c r="AO178" s="138"/>
      <c r="AP178" s="138"/>
      <c r="AQ178" s="108"/>
      <c r="AR178" s="108"/>
      <c r="AS178" s="111"/>
      <c r="AT178" s="118"/>
      <c r="AU178" s="102"/>
      <c r="AV178" s="135"/>
      <c r="AW178" s="131"/>
      <c r="AX178" s="106"/>
      <c r="AY178" s="102"/>
      <c r="AZ178" s="102"/>
      <c r="BA178" s="102"/>
      <c r="BB178" s="102"/>
      <c r="BC178" s="102"/>
      <c r="BD178" s="102"/>
      <c r="BE178" s="102"/>
      <c r="BF178" s="102"/>
      <c r="BG178" s="102"/>
      <c r="BH178" s="106"/>
      <c r="BI178" s="102"/>
      <c r="BJ178" s="102"/>
      <c r="BK178" s="102"/>
      <c r="BL178" s="102"/>
      <c r="BM178" s="102"/>
      <c r="BN178" s="102"/>
      <c r="BO178" s="132"/>
      <c r="BP178" s="102"/>
      <c r="BQ178" s="132"/>
      <c r="BR178" s="102"/>
      <c r="BS178" s="102"/>
      <c r="BT178" s="102"/>
      <c r="BU178" s="102"/>
      <c r="BV178" s="102"/>
      <c r="BW178" s="102"/>
      <c r="BX178" s="102"/>
      <c r="BY178" s="102"/>
      <c r="BZ178" s="102"/>
      <c r="CA178" s="102"/>
      <c r="CB178" s="102"/>
      <c r="CC178" s="102"/>
    </row>
    <row r="179" spans="1:81" ht="10.5" customHeight="1">
      <c r="A179" s="124"/>
      <c r="B179" s="101"/>
      <c r="C179" s="102"/>
      <c r="D179" s="102"/>
      <c r="E179" s="102"/>
      <c r="F179" s="137"/>
      <c r="G179" s="137"/>
      <c r="H179" s="137"/>
      <c r="I179" s="116"/>
      <c r="J179" s="102"/>
      <c r="K179" s="102"/>
      <c r="L179" s="105"/>
      <c r="M179" s="106"/>
      <c r="N179" s="101"/>
      <c r="O179" s="111"/>
      <c r="P179" s="111"/>
      <c r="Q179" s="102"/>
      <c r="R179" s="102"/>
      <c r="S179" s="106"/>
      <c r="T179" s="111"/>
      <c r="U179" s="111"/>
      <c r="V179" s="102"/>
      <c r="W179" s="102"/>
      <c r="X179" s="111"/>
      <c r="Y179" s="102"/>
      <c r="Z179" s="102"/>
      <c r="AA179" s="102"/>
      <c r="AB179" s="102"/>
      <c r="AC179" s="102"/>
      <c r="AD179" s="102"/>
      <c r="AE179" s="102"/>
      <c r="AF179" s="102"/>
      <c r="AG179" s="102"/>
      <c r="AH179" s="102"/>
      <c r="AI179" s="102"/>
      <c r="AJ179" s="102"/>
      <c r="AK179" s="102"/>
      <c r="AL179" s="138"/>
      <c r="AM179" s="108"/>
      <c r="AN179" s="138"/>
      <c r="AO179" s="138"/>
      <c r="AP179" s="138"/>
      <c r="AQ179" s="108"/>
      <c r="AR179" s="108"/>
      <c r="AS179" s="111"/>
      <c r="AT179" s="118"/>
      <c r="AU179" s="102"/>
      <c r="AV179" s="135"/>
      <c r="AW179" s="131"/>
      <c r="AX179" s="106"/>
      <c r="AY179" s="102"/>
      <c r="AZ179" s="102"/>
      <c r="BA179" s="102"/>
      <c r="BB179" s="102"/>
      <c r="BC179" s="102"/>
      <c r="BD179" s="102"/>
      <c r="BE179" s="102"/>
      <c r="BF179" s="102"/>
      <c r="BG179" s="102"/>
      <c r="BH179" s="106"/>
      <c r="BI179" s="102"/>
      <c r="BJ179" s="102"/>
      <c r="BK179" s="102"/>
      <c r="BL179" s="102"/>
      <c r="BM179" s="102"/>
      <c r="BN179" s="102"/>
      <c r="BO179" s="132"/>
      <c r="BP179" s="102"/>
      <c r="BQ179" s="132"/>
      <c r="BR179" s="102"/>
      <c r="BS179" s="102"/>
      <c r="BT179" s="102"/>
      <c r="BU179" s="102"/>
      <c r="BV179" s="102"/>
      <c r="BW179" s="102"/>
      <c r="BX179" s="102"/>
      <c r="BY179" s="102"/>
      <c r="BZ179" s="102"/>
      <c r="CA179" s="102"/>
      <c r="CB179" s="102"/>
      <c r="CC179" s="102"/>
    </row>
    <row r="180" spans="1:81" ht="10.5" customHeight="1">
      <c r="A180" s="124"/>
      <c r="B180" s="101"/>
      <c r="C180" s="102"/>
      <c r="D180" s="102"/>
      <c r="E180" s="102"/>
      <c r="F180" s="137"/>
      <c r="G180" s="137"/>
      <c r="H180" s="137"/>
      <c r="I180" s="116"/>
      <c r="J180" s="102"/>
      <c r="K180" s="102"/>
      <c r="L180" s="105"/>
      <c r="M180" s="106"/>
      <c r="N180" s="101"/>
      <c r="O180" s="111"/>
      <c r="P180" s="111"/>
      <c r="Q180" s="102"/>
      <c r="R180" s="102"/>
      <c r="S180" s="106"/>
      <c r="T180" s="111"/>
      <c r="U180" s="111"/>
      <c r="V180" s="102"/>
      <c r="W180" s="102"/>
      <c r="X180" s="111"/>
      <c r="Y180" s="102"/>
      <c r="Z180" s="102"/>
      <c r="AA180" s="102"/>
      <c r="AB180" s="102"/>
      <c r="AC180" s="102"/>
      <c r="AD180" s="102"/>
      <c r="AE180" s="102"/>
      <c r="AF180" s="102"/>
      <c r="AG180" s="102"/>
      <c r="AH180" s="102"/>
      <c r="AI180" s="102"/>
      <c r="AJ180" s="102"/>
      <c r="AK180" s="102"/>
      <c r="AL180" s="138"/>
      <c r="AM180" s="108"/>
      <c r="AN180" s="138"/>
      <c r="AO180" s="138"/>
      <c r="AP180" s="138"/>
      <c r="AQ180" s="108"/>
      <c r="AR180" s="108"/>
      <c r="AS180" s="111"/>
      <c r="AT180" s="118"/>
      <c r="AU180" s="102"/>
      <c r="AV180" s="135"/>
      <c r="AW180" s="131"/>
      <c r="AX180" s="106"/>
      <c r="AY180" s="102"/>
      <c r="AZ180" s="102"/>
      <c r="BA180" s="102"/>
      <c r="BB180" s="102"/>
      <c r="BC180" s="102"/>
      <c r="BD180" s="102"/>
      <c r="BE180" s="102"/>
      <c r="BF180" s="102"/>
      <c r="BG180" s="102"/>
      <c r="BH180" s="106"/>
      <c r="BI180" s="102"/>
      <c r="BJ180" s="102"/>
      <c r="BK180" s="102"/>
      <c r="BL180" s="102"/>
      <c r="BM180" s="102"/>
      <c r="BN180" s="102"/>
      <c r="BO180" s="132"/>
      <c r="BP180" s="102"/>
      <c r="BQ180" s="132"/>
      <c r="BR180" s="102"/>
      <c r="BS180" s="102"/>
      <c r="BT180" s="102"/>
      <c r="BU180" s="102"/>
      <c r="BV180" s="102"/>
      <c r="BW180" s="102"/>
      <c r="BX180" s="102"/>
      <c r="BY180" s="102"/>
      <c r="BZ180" s="102"/>
      <c r="CA180" s="102"/>
      <c r="CB180" s="102"/>
      <c r="CC180" s="102"/>
    </row>
    <row r="181" spans="1:81" ht="10.5" customHeight="1">
      <c r="A181" s="124"/>
      <c r="B181" s="101"/>
      <c r="C181" s="102"/>
      <c r="D181" s="102"/>
      <c r="E181" s="102"/>
      <c r="F181" s="137"/>
      <c r="G181" s="137"/>
      <c r="H181" s="137"/>
      <c r="I181" s="116"/>
      <c r="J181" s="102"/>
      <c r="K181" s="102"/>
      <c r="L181" s="105"/>
      <c r="M181" s="106"/>
      <c r="N181" s="101"/>
      <c r="O181" s="111"/>
      <c r="P181" s="111"/>
      <c r="Q181" s="102"/>
      <c r="R181" s="102"/>
      <c r="S181" s="106"/>
      <c r="T181" s="111"/>
      <c r="U181" s="111"/>
      <c r="V181" s="102"/>
      <c r="W181" s="102"/>
      <c r="X181" s="111"/>
      <c r="Y181" s="102"/>
      <c r="Z181" s="102"/>
      <c r="AA181" s="102"/>
      <c r="AB181" s="102"/>
      <c r="AC181" s="102"/>
      <c r="AD181" s="102"/>
      <c r="AE181" s="102"/>
      <c r="AF181" s="102"/>
      <c r="AG181" s="102"/>
      <c r="AH181" s="102"/>
      <c r="AI181" s="102"/>
      <c r="AJ181" s="102"/>
      <c r="AK181" s="102"/>
      <c r="AL181" s="138"/>
      <c r="AM181" s="108"/>
      <c r="AN181" s="138"/>
      <c r="AO181" s="138"/>
      <c r="AP181" s="138"/>
      <c r="AQ181" s="108"/>
      <c r="AR181" s="108"/>
      <c r="AS181" s="111"/>
      <c r="AT181" s="118"/>
      <c r="AU181" s="102"/>
      <c r="AV181" s="135"/>
      <c r="AW181" s="131"/>
      <c r="AX181" s="106"/>
      <c r="AY181" s="102"/>
      <c r="AZ181" s="102"/>
      <c r="BA181" s="102"/>
      <c r="BB181" s="102"/>
      <c r="BC181" s="102"/>
      <c r="BD181" s="102"/>
      <c r="BE181" s="102"/>
      <c r="BF181" s="102"/>
      <c r="BG181" s="102"/>
      <c r="BH181" s="106"/>
      <c r="BI181" s="102"/>
      <c r="BJ181" s="102"/>
      <c r="BK181" s="102"/>
      <c r="BL181" s="102"/>
      <c r="BM181" s="102"/>
      <c r="BN181" s="102"/>
      <c r="BO181" s="132"/>
      <c r="BP181" s="102"/>
      <c r="BQ181" s="132"/>
      <c r="BR181" s="102"/>
      <c r="BS181" s="102"/>
      <c r="BT181" s="102"/>
      <c r="BU181" s="102"/>
      <c r="BV181" s="102"/>
      <c r="BW181" s="102"/>
      <c r="BX181" s="102"/>
      <c r="BY181" s="102"/>
      <c r="BZ181" s="102"/>
      <c r="CA181" s="102"/>
      <c r="CB181" s="102"/>
      <c r="CC181" s="102"/>
    </row>
    <row r="182" spans="1:81" ht="10.5" customHeight="1">
      <c r="A182" s="124"/>
      <c r="B182" s="101"/>
      <c r="C182" s="102"/>
      <c r="D182" s="102"/>
      <c r="E182" s="102"/>
      <c r="F182" s="137"/>
      <c r="G182" s="137"/>
      <c r="H182" s="137"/>
      <c r="I182" s="116"/>
      <c r="J182" s="102"/>
      <c r="K182" s="102"/>
      <c r="L182" s="105"/>
      <c r="M182" s="106"/>
      <c r="N182" s="101"/>
      <c r="O182" s="111"/>
      <c r="P182" s="111"/>
      <c r="Q182" s="102"/>
      <c r="R182" s="102"/>
      <c r="S182" s="106"/>
      <c r="T182" s="111"/>
      <c r="U182" s="111"/>
      <c r="V182" s="102"/>
      <c r="W182" s="102"/>
      <c r="X182" s="111"/>
      <c r="Y182" s="102"/>
      <c r="Z182" s="102"/>
      <c r="AA182" s="102"/>
      <c r="AB182" s="102"/>
      <c r="AC182" s="102"/>
      <c r="AD182" s="102"/>
      <c r="AE182" s="102"/>
      <c r="AF182" s="102"/>
      <c r="AG182" s="102"/>
      <c r="AH182" s="102"/>
      <c r="AI182" s="102"/>
      <c r="AJ182" s="102"/>
      <c r="AK182" s="102"/>
      <c r="AL182" s="138"/>
      <c r="AM182" s="108"/>
      <c r="AN182" s="138"/>
      <c r="AO182" s="138"/>
      <c r="AP182" s="138"/>
      <c r="AQ182" s="108"/>
      <c r="AR182" s="108"/>
      <c r="AS182" s="111"/>
      <c r="AT182" s="118"/>
      <c r="AU182" s="102"/>
      <c r="AV182" s="135"/>
      <c r="AW182" s="131"/>
      <c r="AX182" s="106"/>
      <c r="AY182" s="102"/>
      <c r="AZ182" s="102"/>
      <c r="BA182" s="102"/>
      <c r="BB182" s="102"/>
      <c r="BC182" s="102"/>
      <c r="BD182" s="102"/>
      <c r="BE182" s="102"/>
      <c r="BF182" s="102"/>
      <c r="BG182" s="102"/>
      <c r="BH182" s="106"/>
      <c r="BI182" s="102"/>
      <c r="BJ182" s="102"/>
      <c r="BK182" s="102"/>
      <c r="BL182" s="102"/>
      <c r="BM182" s="102"/>
      <c r="BN182" s="102"/>
      <c r="BO182" s="132"/>
      <c r="BP182" s="102"/>
      <c r="BQ182" s="132"/>
      <c r="BR182" s="102"/>
      <c r="BS182" s="102"/>
      <c r="BT182" s="102"/>
      <c r="BU182" s="102"/>
      <c r="BV182" s="102"/>
      <c r="BW182" s="102"/>
      <c r="BX182" s="102"/>
      <c r="BY182" s="102"/>
      <c r="BZ182" s="102"/>
      <c r="CA182" s="102"/>
      <c r="CB182" s="102"/>
      <c r="CC182" s="102"/>
    </row>
    <row r="183" spans="1:81" ht="10.5" customHeight="1">
      <c r="A183" s="124"/>
      <c r="B183" s="101"/>
      <c r="C183" s="102"/>
      <c r="D183" s="102"/>
      <c r="E183" s="102"/>
      <c r="F183" s="137"/>
      <c r="G183" s="137"/>
      <c r="H183" s="137"/>
      <c r="I183" s="116"/>
      <c r="J183" s="102"/>
      <c r="K183" s="102"/>
      <c r="L183" s="105"/>
      <c r="M183" s="106"/>
      <c r="N183" s="101"/>
      <c r="O183" s="111"/>
      <c r="P183" s="111"/>
      <c r="Q183" s="102"/>
      <c r="R183" s="102"/>
      <c r="S183" s="106"/>
      <c r="T183" s="111"/>
      <c r="U183" s="111"/>
      <c r="V183" s="102"/>
      <c r="W183" s="102"/>
      <c r="X183" s="111"/>
      <c r="Y183" s="102"/>
      <c r="Z183" s="102"/>
      <c r="AA183" s="102"/>
      <c r="AB183" s="102"/>
      <c r="AC183" s="102"/>
      <c r="AD183" s="102"/>
      <c r="AE183" s="102"/>
      <c r="AF183" s="102"/>
      <c r="AG183" s="102"/>
      <c r="AH183" s="102"/>
      <c r="AI183" s="102"/>
      <c r="AJ183" s="102"/>
      <c r="AK183" s="102"/>
      <c r="AL183" s="138"/>
      <c r="AM183" s="108"/>
      <c r="AN183" s="138"/>
      <c r="AO183" s="138"/>
      <c r="AP183" s="138"/>
      <c r="AQ183" s="108"/>
      <c r="AR183" s="108"/>
      <c r="AS183" s="111"/>
      <c r="AT183" s="118"/>
      <c r="AU183" s="102"/>
      <c r="AV183" s="135"/>
      <c r="AW183" s="131"/>
      <c r="AX183" s="106"/>
      <c r="AY183" s="102"/>
      <c r="AZ183" s="102"/>
      <c r="BA183" s="102"/>
      <c r="BB183" s="102"/>
      <c r="BC183" s="102"/>
      <c r="BD183" s="102"/>
      <c r="BE183" s="102"/>
      <c r="BF183" s="102"/>
      <c r="BG183" s="102"/>
      <c r="BH183" s="106"/>
      <c r="BI183" s="102"/>
      <c r="BJ183" s="102"/>
      <c r="BK183" s="102"/>
      <c r="BL183" s="102"/>
      <c r="BM183" s="102"/>
      <c r="BN183" s="102"/>
      <c r="BO183" s="132"/>
      <c r="BP183" s="102"/>
      <c r="BQ183" s="132"/>
      <c r="BR183" s="102"/>
      <c r="BS183" s="102"/>
      <c r="BT183" s="102"/>
      <c r="BU183" s="102"/>
      <c r="BV183" s="102"/>
      <c r="BW183" s="102"/>
      <c r="BX183" s="102"/>
      <c r="BY183" s="102"/>
      <c r="BZ183" s="102"/>
      <c r="CA183" s="102"/>
      <c r="CB183" s="102"/>
      <c r="CC183" s="102"/>
    </row>
    <row r="184" spans="1:81" ht="10.5" customHeight="1">
      <c r="A184" s="124"/>
      <c r="B184" s="101"/>
      <c r="C184" s="102"/>
      <c r="D184" s="102"/>
      <c r="E184" s="102"/>
      <c r="F184" s="137"/>
      <c r="G184" s="137"/>
      <c r="H184" s="137"/>
      <c r="I184" s="116"/>
      <c r="J184" s="102"/>
      <c r="K184" s="102"/>
      <c r="L184" s="105"/>
      <c r="M184" s="106"/>
      <c r="N184" s="101"/>
      <c r="O184" s="111"/>
      <c r="P184" s="111"/>
      <c r="Q184" s="102"/>
      <c r="R184" s="102"/>
      <c r="S184" s="106"/>
      <c r="T184" s="111"/>
      <c r="U184" s="111"/>
      <c r="V184" s="102"/>
      <c r="W184" s="102"/>
      <c r="X184" s="111"/>
      <c r="Y184" s="102"/>
      <c r="Z184" s="102"/>
      <c r="AA184" s="102"/>
      <c r="AB184" s="102"/>
      <c r="AC184" s="102"/>
      <c r="AD184" s="102"/>
      <c r="AE184" s="102"/>
      <c r="AF184" s="102"/>
      <c r="AG184" s="102"/>
      <c r="AH184" s="102"/>
      <c r="AI184" s="102"/>
      <c r="AJ184" s="102"/>
      <c r="AK184" s="102"/>
      <c r="AL184" s="138"/>
      <c r="AM184" s="108"/>
      <c r="AN184" s="138"/>
      <c r="AO184" s="138"/>
      <c r="AP184" s="138"/>
      <c r="AQ184" s="108"/>
      <c r="AR184" s="108"/>
      <c r="AS184" s="111"/>
      <c r="AT184" s="118"/>
      <c r="AU184" s="102"/>
      <c r="AV184" s="135"/>
      <c r="AW184" s="131"/>
      <c r="AX184" s="106"/>
      <c r="AY184" s="102"/>
      <c r="AZ184" s="102"/>
      <c r="BA184" s="102"/>
      <c r="BB184" s="102"/>
      <c r="BC184" s="102"/>
      <c r="BD184" s="102"/>
      <c r="BE184" s="102"/>
      <c r="BF184" s="102"/>
      <c r="BG184" s="102"/>
      <c r="BH184" s="106"/>
      <c r="BI184" s="102"/>
      <c r="BJ184" s="102"/>
      <c r="BK184" s="102"/>
      <c r="BL184" s="102"/>
      <c r="BM184" s="102"/>
      <c r="BN184" s="102"/>
      <c r="BO184" s="132"/>
      <c r="BP184" s="102"/>
      <c r="BQ184" s="132"/>
      <c r="BR184" s="102"/>
      <c r="BS184" s="102"/>
      <c r="BT184" s="102"/>
      <c r="BU184" s="102"/>
      <c r="BV184" s="102"/>
      <c r="BW184" s="102"/>
      <c r="BX184" s="102"/>
      <c r="BY184" s="102"/>
      <c r="BZ184" s="102"/>
      <c r="CA184" s="102"/>
      <c r="CB184" s="102"/>
      <c r="CC184" s="102"/>
    </row>
    <row r="185" spans="1:81" ht="10.5" customHeight="1">
      <c r="A185" s="124"/>
      <c r="B185" s="101"/>
      <c r="C185" s="102"/>
      <c r="D185" s="102"/>
      <c r="E185" s="102"/>
      <c r="F185" s="137"/>
      <c r="G185" s="137"/>
      <c r="H185" s="137"/>
      <c r="I185" s="116"/>
      <c r="J185" s="102"/>
      <c r="K185" s="102"/>
      <c r="L185" s="105"/>
      <c r="M185" s="106"/>
      <c r="N185" s="101"/>
      <c r="O185" s="111"/>
      <c r="P185" s="111"/>
      <c r="Q185" s="102"/>
      <c r="R185" s="102"/>
      <c r="S185" s="106"/>
      <c r="T185" s="111"/>
      <c r="U185" s="111"/>
      <c r="V185" s="102"/>
      <c r="W185" s="102"/>
      <c r="X185" s="111"/>
      <c r="Y185" s="102"/>
      <c r="Z185" s="102"/>
      <c r="AA185" s="102"/>
      <c r="AB185" s="102"/>
      <c r="AC185" s="102"/>
      <c r="AD185" s="102"/>
      <c r="AE185" s="102"/>
      <c r="AF185" s="102"/>
      <c r="AG185" s="102"/>
      <c r="AH185" s="102"/>
      <c r="AI185" s="102"/>
      <c r="AJ185" s="102"/>
      <c r="AK185" s="102"/>
      <c r="AL185" s="138"/>
      <c r="AM185" s="108"/>
      <c r="AN185" s="138"/>
      <c r="AO185" s="138"/>
      <c r="AP185" s="138"/>
      <c r="AQ185" s="108"/>
      <c r="AR185" s="108"/>
      <c r="AS185" s="111"/>
      <c r="AT185" s="118"/>
      <c r="AU185" s="102"/>
      <c r="AV185" s="135"/>
      <c r="AW185" s="131"/>
      <c r="AX185" s="106"/>
      <c r="AY185" s="102"/>
      <c r="AZ185" s="102"/>
      <c r="BA185" s="102"/>
      <c r="BB185" s="102"/>
      <c r="BC185" s="102"/>
      <c r="BD185" s="102"/>
      <c r="BE185" s="102"/>
      <c r="BF185" s="102"/>
      <c r="BG185" s="102"/>
      <c r="BH185" s="106"/>
      <c r="BI185" s="102"/>
      <c r="BJ185" s="102"/>
      <c r="BK185" s="102"/>
      <c r="BL185" s="102"/>
      <c r="BM185" s="102"/>
      <c r="BN185" s="102"/>
      <c r="BO185" s="132"/>
      <c r="BP185" s="102"/>
      <c r="BQ185" s="132"/>
      <c r="BR185" s="102"/>
      <c r="BS185" s="102"/>
      <c r="BT185" s="102"/>
      <c r="BU185" s="102"/>
      <c r="BV185" s="102"/>
      <c r="BW185" s="102"/>
      <c r="BX185" s="102"/>
      <c r="BY185" s="102"/>
      <c r="BZ185" s="102"/>
      <c r="CA185" s="102"/>
      <c r="CB185" s="102"/>
      <c r="CC185" s="102"/>
    </row>
    <row r="186" spans="1:81" ht="10.5" customHeight="1">
      <c r="A186" s="124"/>
      <c r="B186" s="101"/>
      <c r="C186" s="102"/>
      <c r="D186" s="102"/>
      <c r="E186" s="102"/>
      <c r="F186" s="137"/>
      <c r="G186" s="137"/>
      <c r="H186" s="137"/>
      <c r="I186" s="116"/>
      <c r="J186" s="102"/>
      <c r="K186" s="102"/>
      <c r="L186" s="105"/>
      <c r="M186" s="106"/>
      <c r="N186" s="101"/>
      <c r="O186" s="111"/>
      <c r="P186" s="111"/>
      <c r="Q186" s="102"/>
      <c r="R186" s="102"/>
      <c r="S186" s="106"/>
      <c r="T186" s="111"/>
      <c r="U186" s="111"/>
      <c r="V186" s="102"/>
      <c r="W186" s="102"/>
      <c r="X186" s="111"/>
      <c r="Y186" s="102"/>
      <c r="Z186" s="102"/>
      <c r="AA186" s="102"/>
      <c r="AB186" s="102"/>
      <c r="AC186" s="102"/>
      <c r="AD186" s="102"/>
      <c r="AE186" s="102"/>
      <c r="AF186" s="102"/>
      <c r="AG186" s="102"/>
      <c r="AH186" s="102"/>
      <c r="AI186" s="102"/>
      <c r="AJ186" s="102"/>
      <c r="AK186" s="102"/>
      <c r="AL186" s="138"/>
      <c r="AM186" s="108"/>
      <c r="AN186" s="138"/>
      <c r="AO186" s="138"/>
      <c r="AP186" s="138"/>
      <c r="AQ186" s="108"/>
      <c r="AR186" s="108"/>
      <c r="AS186" s="111"/>
      <c r="AT186" s="118"/>
      <c r="AU186" s="102"/>
      <c r="AV186" s="135"/>
      <c r="AW186" s="131"/>
      <c r="AX186" s="106"/>
      <c r="AY186" s="102"/>
      <c r="AZ186" s="102"/>
      <c r="BA186" s="102"/>
      <c r="BB186" s="102"/>
      <c r="BC186" s="102"/>
      <c r="BD186" s="102"/>
      <c r="BE186" s="102"/>
      <c r="BF186" s="102"/>
      <c r="BG186" s="102"/>
      <c r="BH186" s="106"/>
      <c r="BI186" s="102"/>
      <c r="BJ186" s="102"/>
      <c r="BK186" s="102"/>
      <c r="BL186" s="102"/>
      <c r="BM186" s="102"/>
      <c r="BN186" s="102"/>
      <c r="BO186" s="132"/>
      <c r="BP186" s="102"/>
      <c r="BQ186" s="132"/>
      <c r="BR186" s="102"/>
      <c r="BS186" s="102"/>
      <c r="BT186" s="102"/>
      <c r="BU186" s="102"/>
      <c r="BV186" s="102"/>
      <c r="BW186" s="102"/>
      <c r="BX186" s="102"/>
      <c r="BY186" s="102"/>
      <c r="BZ186" s="102"/>
      <c r="CA186" s="102"/>
      <c r="CB186" s="102"/>
      <c r="CC186" s="102"/>
    </row>
    <row r="187" spans="1:81" ht="10.5" customHeight="1">
      <c r="A187" s="124"/>
      <c r="B187" s="101"/>
      <c r="C187" s="102"/>
      <c r="D187" s="102"/>
      <c r="E187" s="102"/>
      <c r="F187" s="137"/>
      <c r="G187" s="137"/>
      <c r="H187" s="137"/>
      <c r="I187" s="116"/>
      <c r="J187" s="102"/>
      <c r="K187" s="102"/>
      <c r="L187" s="105"/>
      <c r="M187" s="106"/>
      <c r="N187" s="101"/>
      <c r="O187" s="111"/>
      <c r="P187" s="111"/>
      <c r="Q187" s="102"/>
      <c r="R187" s="102"/>
      <c r="S187" s="106"/>
      <c r="T187" s="111"/>
      <c r="U187" s="111"/>
      <c r="V187" s="102"/>
      <c r="W187" s="102"/>
      <c r="X187" s="111"/>
      <c r="Y187" s="102"/>
      <c r="Z187" s="102"/>
      <c r="AA187" s="102"/>
      <c r="AB187" s="102"/>
      <c r="AC187" s="102"/>
      <c r="AD187" s="102"/>
      <c r="AE187" s="102"/>
      <c r="AF187" s="102"/>
      <c r="AG187" s="102"/>
      <c r="AH187" s="102"/>
      <c r="AI187" s="102"/>
      <c r="AJ187" s="102"/>
      <c r="AK187" s="102"/>
      <c r="AL187" s="138"/>
      <c r="AM187" s="108"/>
      <c r="AN187" s="138"/>
      <c r="AO187" s="138"/>
      <c r="AP187" s="138"/>
      <c r="AQ187" s="108"/>
      <c r="AR187" s="108"/>
      <c r="AS187" s="111"/>
      <c r="AT187" s="118"/>
      <c r="AU187" s="102"/>
      <c r="AV187" s="135"/>
      <c r="AW187" s="131"/>
      <c r="AX187" s="106"/>
      <c r="AY187" s="102"/>
      <c r="AZ187" s="102"/>
      <c r="BA187" s="102"/>
      <c r="BB187" s="102"/>
      <c r="BC187" s="102"/>
      <c r="BD187" s="102"/>
      <c r="BE187" s="102"/>
      <c r="BF187" s="102"/>
      <c r="BG187" s="102"/>
      <c r="BH187" s="106"/>
      <c r="BI187" s="102"/>
      <c r="BJ187" s="102"/>
      <c r="BK187" s="102"/>
      <c r="BL187" s="102"/>
      <c r="BM187" s="102"/>
      <c r="BN187" s="102"/>
      <c r="BO187" s="132"/>
      <c r="BP187" s="102"/>
      <c r="BQ187" s="132"/>
      <c r="BR187" s="102"/>
      <c r="BS187" s="102"/>
      <c r="BT187" s="102"/>
      <c r="BU187" s="102"/>
      <c r="BV187" s="102"/>
      <c r="BW187" s="102"/>
      <c r="BX187" s="102"/>
      <c r="BY187" s="102"/>
      <c r="BZ187" s="102"/>
      <c r="CA187" s="102"/>
      <c r="CB187" s="102"/>
      <c r="CC187" s="102"/>
    </row>
    <row r="188" spans="1:81" ht="10.5" customHeight="1">
      <c r="A188" s="124"/>
      <c r="B188" s="101"/>
      <c r="C188" s="102"/>
      <c r="D188" s="102"/>
      <c r="E188" s="102"/>
      <c r="F188" s="137"/>
      <c r="G188" s="137"/>
      <c r="H188" s="137"/>
      <c r="I188" s="116"/>
      <c r="J188" s="102"/>
      <c r="K188" s="102"/>
      <c r="L188" s="105"/>
      <c r="M188" s="106"/>
      <c r="N188" s="101"/>
      <c r="O188" s="111"/>
      <c r="P188" s="111"/>
      <c r="Q188" s="102"/>
      <c r="R188" s="102"/>
      <c r="S188" s="106"/>
      <c r="T188" s="111"/>
      <c r="U188" s="111"/>
      <c r="V188" s="102"/>
      <c r="W188" s="102"/>
      <c r="X188" s="111"/>
      <c r="Y188" s="102"/>
      <c r="Z188" s="102"/>
      <c r="AA188" s="102"/>
      <c r="AB188" s="102"/>
      <c r="AC188" s="102"/>
      <c r="AD188" s="102"/>
      <c r="AE188" s="102"/>
      <c r="AF188" s="102"/>
      <c r="AG188" s="102"/>
      <c r="AH188" s="102"/>
      <c r="AI188" s="102"/>
      <c r="AJ188" s="102"/>
      <c r="AK188" s="102"/>
      <c r="AL188" s="138"/>
      <c r="AM188" s="108"/>
      <c r="AN188" s="138"/>
      <c r="AO188" s="138"/>
      <c r="AP188" s="138"/>
      <c r="AQ188" s="108"/>
      <c r="AR188" s="108"/>
      <c r="AS188" s="111"/>
      <c r="AT188" s="118"/>
      <c r="AU188" s="102"/>
      <c r="AV188" s="135"/>
      <c r="AW188" s="131"/>
      <c r="AX188" s="106"/>
      <c r="AY188" s="102"/>
      <c r="AZ188" s="102"/>
      <c r="BA188" s="102"/>
      <c r="BB188" s="102"/>
      <c r="BC188" s="102"/>
      <c r="BD188" s="102"/>
      <c r="BE188" s="102"/>
      <c r="BF188" s="102"/>
      <c r="BG188" s="102"/>
      <c r="BH188" s="106"/>
      <c r="BI188" s="102"/>
      <c r="BJ188" s="102"/>
      <c r="BK188" s="102"/>
      <c r="BL188" s="102"/>
      <c r="BM188" s="102"/>
      <c r="BN188" s="102"/>
      <c r="BO188" s="132"/>
      <c r="BP188" s="102"/>
      <c r="BQ188" s="132"/>
      <c r="BR188" s="102"/>
      <c r="BS188" s="102"/>
      <c r="BT188" s="102"/>
      <c r="BU188" s="102"/>
      <c r="BV188" s="102"/>
      <c r="BW188" s="102"/>
      <c r="BX188" s="102"/>
      <c r="BY188" s="102"/>
      <c r="BZ188" s="102"/>
      <c r="CA188" s="102"/>
      <c r="CB188" s="102"/>
      <c r="CC188" s="102"/>
    </row>
    <row r="189" spans="1:81" ht="10.5" customHeight="1">
      <c r="A189" s="124"/>
      <c r="B189" s="101"/>
      <c r="C189" s="102"/>
      <c r="D189" s="102"/>
      <c r="E189" s="102"/>
      <c r="F189" s="137"/>
      <c r="G189" s="137"/>
      <c r="H189" s="137"/>
      <c r="I189" s="116"/>
      <c r="J189" s="102"/>
      <c r="K189" s="102"/>
      <c r="L189" s="105"/>
      <c r="M189" s="106"/>
      <c r="N189" s="101"/>
      <c r="O189" s="111"/>
      <c r="P189" s="111"/>
      <c r="Q189" s="102"/>
      <c r="R189" s="102"/>
      <c r="S189" s="106"/>
      <c r="T189" s="111"/>
      <c r="U189" s="111"/>
      <c r="V189" s="102"/>
      <c r="W189" s="102"/>
      <c r="X189" s="111"/>
      <c r="Y189" s="102"/>
      <c r="Z189" s="102"/>
      <c r="AA189" s="102"/>
      <c r="AB189" s="102"/>
      <c r="AC189" s="102"/>
      <c r="AD189" s="102"/>
      <c r="AE189" s="102"/>
      <c r="AF189" s="102"/>
      <c r="AG189" s="102"/>
      <c r="AH189" s="102"/>
      <c r="AI189" s="102"/>
      <c r="AJ189" s="102"/>
      <c r="AK189" s="102"/>
      <c r="AL189" s="138"/>
      <c r="AM189" s="108"/>
      <c r="AN189" s="138"/>
      <c r="AO189" s="138"/>
      <c r="AP189" s="138"/>
      <c r="AQ189" s="108"/>
      <c r="AR189" s="108"/>
      <c r="AS189" s="111"/>
      <c r="AT189" s="118"/>
      <c r="AU189" s="102"/>
      <c r="AV189" s="135"/>
      <c r="AW189" s="131"/>
      <c r="AX189" s="106"/>
      <c r="AY189" s="102"/>
      <c r="AZ189" s="102"/>
      <c r="BA189" s="102"/>
      <c r="BB189" s="102"/>
      <c r="BC189" s="102"/>
      <c r="BD189" s="102"/>
      <c r="BE189" s="102"/>
      <c r="BF189" s="102"/>
      <c r="BG189" s="102"/>
      <c r="BH189" s="106"/>
      <c r="BI189" s="102"/>
      <c r="BJ189" s="102"/>
      <c r="BK189" s="102"/>
      <c r="BL189" s="102"/>
      <c r="BM189" s="102"/>
      <c r="BN189" s="102"/>
      <c r="BO189" s="132"/>
      <c r="BP189" s="102"/>
      <c r="BQ189" s="132"/>
      <c r="BR189" s="102"/>
      <c r="BS189" s="102"/>
      <c r="BT189" s="102"/>
      <c r="BU189" s="102"/>
      <c r="BV189" s="102"/>
      <c r="BW189" s="102"/>
      <c r="BX189" s="102"/>
      <c r="BY189" s="102"/>
      <c r="BZ189" s="102"/>
      <c r="CA189" s="102"/>
      <c r="CB189" s="102"/>
      <c r="CC189" s="102"/>
    </row>
    <row r="190" spans="1:81" ht="10.5" customHeight="1">
      <c r="A190" s="124"/>
      <c r="B190" s="101"/>
      <c r="C190" s="102"/>
      <c r="D190" s="102"/>
      <c r="E190" s="102"/>
      <c r="F190" s="137"/>
      <c r="G190" s="137"/>
      <c r="H190" s="137"/>
      <c r="I190" s="116"/>
      <c r="J190" s="102"/>
      <c r="K190" s="102"/>
      <c r="L190" s="105"/>
      <c r="M190" s="106"/>
      <c r="N190" s="101"/>
      <c r="O190" s="111"/>
      <c r="P190" s="111"/>
      <c r="Q190" s="102"/>
      <c r="R190" s="102"/>
      <c r="S190" s="106"/>
      <c r="T190" s="111"/>
      <c r="U190" s="111"/>
      <c r="V190" s="102"/>
      <c r="W190" s="102"/>
      <c r="X190" s="111"/>
      <c r="Y190" s="102"/>
      <c r="Z190" s="102"/>
      <c r="AA190" s="102"/>
      <c r="AB190" s="102"/>
      <c r="AC190" s="102"/>
      <c r="AD190" s="102"/>
      <c r="AE190" s="102"/>
      <c r="AF190" s="102"/>
      <c r="AG190" s="102"/>
      <c r="AH190" s="102"/>
      <c r="AI190" s="102"/>
      <c r="AJ190" s="102"/>
      <c r="AK190" s="102"/>
      <c r="AL190" s="138"/>
      <c r="AM190" s="108"/>
      <c r="AN190" s="138"/>
      <c r="AO190" s="138"/>
      <c r="AP190" s="138"/>
      <c r="AQ190" s="108"/>
      <c r="AR190" s="108"/>
      <c r="AS190" s="111"/>
      <c r="AT190" s="118"/>
      <c r="AU190" s="102"/>
      <c r="AV190" s="135"/>
      <c r="AW190" s="131"/>
      <c r="AX190" s="106"/>
      <c r="AY190" s="102"/>
      <c r="AZ190" s="102"/>
      <c r="BA190" s="102"/>
      <c r="BB190" s="102"/>
      <c r="BC190" s="102"/>
      <c r="BD190" s="102"/>
      <c r="BE190" s="102"/>
      <c r="BF190" s="102"/>
      <c r="BG190" s="102"/>
      <c r="BH190" s="106"/>
      <c r="BI190" s="102"/>
      <c r="BJ190" s="102"/>
      <c r="BK190" s="102"/>
      <c r="BL190" s="102"/>
      <c r="BM190" s="102"/>
      <c r="BN190" s="102"/>
      <c r="BO190" s="132"/>
      <c r="BP190" s="102"/>
      <c r="BQ190" s="132"/>
      <c r="BR190" s="102"/>
      <c r="BS190" s="102"/>
      <c r="BT190" s="102"/>
      <c r="BU190" s="102"/>
      <c r="BV190" s="102"/>
      <c r="BW190" s="102"/>
      <c r="BX190" s="102"/>
      <c r="BY190" s="102"/>
      <c r="BZ190" s="102"/>
      <c r="CA190" s="102"/>
      <c r="CB190" s="102"/>
      <c r="CC190" s="102"/>
    </row>
    <row r="191" spans="1:81" ht="10.5" customHeight="1">
      <c r="A191" s="124"/>
      <c r="B191" s="101"/>
      <c r="C191" s="102"/>
      <c r="D191" s="102"/>
      <c r="E191" s="102"/>
      <c r="F191" s="137"/>
      <c r="G191" s="137"/>
      <c r="H191" s="137"/>
      <c r="I191" s="116"/>
      <c r="J191" s="102"/>
      <c r="K191" s="102"/>
      <c r="L191" s="105"/>
      <c r="M191" s="106"/>
      <c r="N191" s="101"/>
      <c r="O191" s="111"/>
      <c r="P191" s="111"/>
      <c r="Q191" s="102"/>
      <c r="R191" s="102"/>
      <c r="S191" s="106"/>
      <c r="T191" s="111"/>
      <c r="U191" s="111"/>
      <c r="V191" s="102"/>
      <c r="W191" s="102"/>
      <c r="X191" s="111"/>
      <c r="Y191" s="102"/>
      <c r="Z191" s="102"/>
      <c r="AA191" s="102"/>
      <c r="AB191" s="102"/>
      <c r="AC191" s="102"/>
      <c r="AD191" s="102"/>
      <c r="AE191" s="102"/>
      <c r="AF191" s="102"/>
      <c r="AG191" s="102"/>
      <c r="AH191" s="102"/>
      <c r="AI191" s="102"/>
      <c r="AJ191" s="102"/>
      <c r="AK191" s="102"/>
      <c r="AL191" s="138"/>
      <c r="AM191" s="108"/>
      <c r="AN191" s="138"/>
      <c r="AO191" s="138"/>
      <c r="AP191" s="138"/>
      <c r="AQ191" s="108"/>
      <c r="AR191" s="108"/>
      <c r="AS191" s="111"/>
      <c r="AT191" s="118"/>
      <c r="AU191" s="102"/>
      <c r="AV191" s="135"/>
      <c r="AW191" s="131"/>
      <c r="AX191" s="106"/>
      <c r="AY191" s="102"/>
      <c r="AZ191" s="102"/>
      <c r="BA191" s="102"/>
      <c r="BB191" s="102"/>
      <c r="BC191" s="102"/>
      <c r="BD191" s="102"/>
      <c r="BE191" s="102"/>
      <c r="BF191" s="102"/>
      <c r="BG191" s="102"/>
      <c r="BH191" s="106"/>
      <c r="BI191" s="102"/>
      <c r="BJ191" s="102"/>
      <c r="BK191" s="102"/>
      <c r="BL191" s="102"/>
      <c r="BM191" s="102"/>
      <c r="BN191" s="102"/>
      <c r="BO191" s="132"/>
      <c r="BP191" s="102"/>
      <c r="BQ191" s="132"/>
      <c r="BR191" s="102"/>
      <c r="BS191" s="102"/>
      <c r="BT191" s="102"/>
      <c r="BU191" s="102"/>
      <c r="BV191" s="102"/>
      <c r="BW191" s="102"/>
      <c r="BX191" s="102"/>
      <c r="BY191" s="102"/>
      <c r="BZ191" s="102"/>
      <c r="CA191" s="102"/>
      <c r="CB191" s="102"/>
      <c r="CC191" s="102"/>
    </row>
    <row r="192" spans="1:81" ht="10.5" customHeight="1">
      <c r="A192" s="124"/>
      <c r="B192" s="101"/>
      <c r="C192" s="102"/>
      <c r="D192" s="102"/>
      <c r="E192" s="102"/>
      <c r="F192" s="137"/>
      <c r="G192" s="137"/>
      <c r="H192" s="137"/>
      <c r="I192" s="116"/>
      <c r="J192" s="102"/>
      <c r="K192" s="102"/>
      <c r="L192" s="105"/>
      <c r="M192" s="106"/>
      <c r="N192" s="101"/>
      <c r="O192" s="111"/>
      <c r="P192" s="111"/>
      <c r="Q192" s="102"/>
      <c r="R192" s="102"/>
      <c r="S192" s="106"/>
      <c r="T192" s="111"/>
      <c r="U192" s="111"/>
      <c r="V192" s="102"/>
      <c r="W192" s="102"/>
      <c r="X192" s="111"/>
      <c r="Y192" s="102"/>
      <c r="Z192" s="102"/>
      <c r="AA192" s="102"/>
      <c r="AB192" s="102"/>
      <c r="AC192" s="102"/>
      <c r="AD192" s="102"/>
      <c r="AE192" s="102"/>
      <c r="AF192" s="102"/>
      <c r="AG192" s="102"/>
      <c r="AH192" s="102"/>
      <c r="AI192" s="102"/>
      <c r="AJ192" s="102"/>
      <c r="AK192" s="102"/>
      <c r="AL192" s="138"/>
      <c r="AM192" s="108"/>
      <c r="AN192" s="138"/>
      <c r="AO192" s="138"/>
      <c r="AP192" s="138"/>
      <c r="AQ192" s="108"/>
      <c r="AR192" s="108"/>
      <c r="AS192" s="111"/>
      <c r="AT192" s="118"/>
      <c r="AU192" s="102"/>
      <c r="AV192" s="135"/>
      <c r="AW192" s="131"/>
      <c r="AX192" s="106"/>
      <c r="AY192" s="102"/>
      <c r="AZ192" s="102"/>
      <c r="BA192" s="102"/>
      <c r="BB192" s="102"/>
      <c r="BC192" s="102"/>
      <c r="BD192" s="102"/>
      <c r="BE192" s="102"/>
      <c r="BF192" s="102"/>
      <c r="BG192" s="102"/>
      <c r="BH192" s="106"/>
      <c r="BI192" s="102"/>
      <c r="BJ192" s="102"/>
      <c r="BK192" s="102"/>
      <c r="BL192" s="102"/>
      <c r="BM192" s="102"/>
      <c r="BN192" s="102"/>
      <c r="BO192" s="132"/>
      <c r="BP192" s="102"/>
      <c r="BQ192" s="132"/>
      <c r="BR192" s="102"/>
      <c r="BS192" s="102"/>
      <c r="BT192" s="102"/>
      <c r="BU192" s="102"/>
      <c r="BV192" s="102"/>
      <c r="BW192" s="102"/>
      <c r="BX192" s="102"/>
      <c r="BY192" s="102"/>
      <c r="BZ192" s="102"/>
      <c r="CA192" s="102"/>
      <c r="CB192" s="102"/>
      <c r="CC192" s="102"/>
    </row>
    <row r="193" spans="1:81" ht="10.5" customHeight="1">
      <c r="A193" s="124"/>
      <c r="B193" s="101"/>
      <c r="C193" s="102"/>
      <c r="D193" s="102"/>
      <c r="E193" s="102"/>
      <c r="F193" s="137"/>
      <c r="G193" s="137"/>
      <c r="H193" s="137"/>
      <c r="I193" s="116"/>
      <c r="J193" s="102"/>
      <c r="K193" s="102"/>
      <c r="L193" s="105"/>
      <c r="M193" s="106"/>
      <c r="N193" s="101"/>
      <c r="O193" s="111"/>
      <c r="P193" s="111"/>
      <c r="Q193" s="102"/>
      <c r="R193" s="102"/>
      <c r="S193" s="106"/>
      <c r="T193" s="111"/>
      <c r="U193" s="111"/>
      <c r="V193" s="102"/>
      <c r="W193" s="102"/>
      <c r="X193" s="111"/>
      <c r="Y193" s="102"/>
      <c r="Z193" s="102"/>
      <c r="AA193" s="102"/>
      <c r="AB193" s="102"/>
      <c r="AC193" s="102"/>
      <c r="AD193" s="102"/>
      <c r="AE193" s="102"/>
      <c r="AF193" s="102"/>
      <c r="AG193" s="102"/>
      <c r="AH193" s="102"/>
      <c r="AI193" s="102"/>
      <c r="AJ193" s="102"/>
      <c r="AK193" s="102"/>
      <c r="AL193" s="138"/>
      <c r="AM193" s="108"/>
      <c r="AN193" s="138"/>
      <c r="AO193" s="138"/>
      <c r="AP193" s="138"/>
      <c r="AQ193" s="108"/>
      <c r="AR193" s="108"/>
      <c r="AS193" s="111"/>
      <c r="AT193" s="118"/>
      <c r="AU193" s="102"/>
      <c r="AV193" s="135"/>
      <c r="AW193" s="131"/>
      <c r="AX193" s="106"/>
      <c r="AY193" s="102"/>
      <c r="AZ193" s="102"/>
      <c r="BA193" s="102"/>
      <c r="BB193" s="102"/>
      <c r="BC193" s="102"/>
      <c r="BD193" s="102"/>
      <c r="BE193" s="102"/>
      <c r="BF193" s="102"/>
      <c r="BG193" s="102"/>
      <c r="BH193" s="106"/>
      <c r="BI193" s="102"/>
      <c r="BJ193" s="102"/>
      <c r="BK193" s="102"/>
      <c r="BL193" s="102"/>
      <c r="BM193" s="102"/>
      <c r="BN193" s="102"/>
      <c r="BO193" s="132"/>
      <c r="BP193" s="102"/>
      <c r="BQ193" s="132"/>
      <c r="BR193" s="102"/>
      <c r="BS193" s="102"/>
      <c r="BT193" s="102"/>
      <c r="BU193" s="102"/>
      <c r="BV193" s="102"/>
      <c r="BW193" s="102"/>
      <c r="BX193" s="102"/>
      <c r="BY193" s="102"/>
      <c r="BZ193" s="102"/>
      <c r="CA193" s="102"/>
      <c r="CB193" s="102"/>
      <c r="CC193" s="102"/>
    </row>
    <row r="194" spans="1:81" ht="10.5" customHeight="1">
      <c r="A194" s="124"/>
      <c r="B194" s="101"/>
      <c r="C194" s="102"/>
      <c r="D194" s="102"/>
      <c r="E194" s="102"/>
      <c r="F194" s="137"/>
      <c r="G194" s="137"/>
      <c r="H194" s="137"/>
      <c r="I194" s="116"/>
      <c r="J194" s="102"/>
      <c r="K194" s="102"/>
      <c r="L194" s="105"/>
      <c r="M194" s="106"/>
      <c r="N194" s="101"/>
      <c r="O194" s="111"/>
      <c r="P194" s="111"/>
      <c r="Q194" s="102"/>
      <c r="R194" s="102"/>
      <c r="S194" s="106"/>
      <c r="T194" s="111"/>
      <c r="U194" s="111"/>
      <c r="V194" s="102"/>
      <c r="W194" s="102"/>
      <c r="X194" s="111"/>
      <c r="Y194" s="102"/>
      <c r="Z194" s="102"/>
      <c r="AA194" s="102"/>
      <c r="AB194" s="102"/>
      <c r="AC194" s="102"/>
      <c r="AD194" s="102"/>
      <c r="AE194" s="102"/>
      <c r="AF194" s="102"/>
      <c r="AG194" s="102"/>
      <c r="AH194" s="102"/>
      <c r="AI194" s="102"/>
      <c r="AJ194" s="102"/>
      <c r="AK194" s="102"/>
      <c r="AL194" s="138"/>
      <c r="AM194" s="108"/>
      <c r="AN194" s="138"/>
      <c r="AO194" s="138"/>
      <c r="AP194" s="138"/>
      <c r="AQ194" s="108"/>
      <c r="AR194" s="108"/>
      <c r="AS194" s="111"/>
      <c r="AT194" s="118"/>
      <c r="AU194" s="102"/>
      <c r="AV194" s="135"/>
      <c r="AW194" s="131"/>
      <c r="AX194" s="106"/>
      <c r="AY194" s="102"/>
      <c r="AZ194" s="102"/>
      <c r="BA194" s="102"/>
      <c r="BB194" s="102"/>
      <c r="BC194" s="102"/>
      <c r="BD194" s="102"/>
      <c r="BE194" s="102"/>
      <c r="BF194" s="102"/>
      <c r="BG194" s="102"/>
      <c r="BH194" s="106"/>
      <c r="BI194" s="102"/>
      <c r="BJ194" s="102"/>
      <c r="BK194" s="102"/>
      <c r="BL194" s="102"/>
      <c r="BM194" s="102"/>
      <c r="BN194" s="102"/>
      <c r="BO194" s="132"/>
      <c r="BP194" s="102"/>
      <c r="BQ194" s="132"/>
      <c r="BR194" s="102"/>
      <c r="BS194" s="102"/>
      <c r="BT194" s="102"/>
      <c r="BU194" s="102"/>
      <c r="BV194" s="102"/>
      <c r="BW194" s="102"/>
      <c r="BX194" s="102"/>
      <c r="BY194" s="102"/>
      <c r="BZ194" s="102"/>
      <c r="CA194" s="102"/>
      <c r="CB194" s="102"/>
      <c r="CC194" s="102"/>
    </row>
    <row r="195" spans="1:81" ht="10.5" customHeight="1">
      <c r="A195" s="124"/>
      <c r="B195" s="101"/>
      <c r="C195" s="102"/>
      <c r="D195" s="102"/>
      <c r="E195" s="102"/>
      <c r="F195" s="137"/>
      <c r="G195" s="137"/>
      <c r="H195" s="137"/>
      <c r="I195" s="116"/>
      <c r="J195" s="102"/>
      <c r="K195" s="102"/>
      <c r="L195" s="105"/>
      <c r="M195" s="106"/>
      <c r="N195" s="101"/>
      <c r="O195" s="111"/>
      <c r="P195" s="111"/>
      <c r="Q195" s="102"/>
      <c r="R195" s="102"/>
      <c r="S195" s="106"/>
      <c r="T195" s="111"/>
      <c r="U195" s="111"/>
      <c r="V195" s="102"/>
      <c r="W195" s="102"/>
      <c r="X195" s="111"/>
      <c r="Y195" s="102"/>
      <c r="Z195" s="102"/>
      <c r="AA195" s="102"/>
      <c r="AB195" s="102"/>
      <c r="AC195" s="102"/>
      <c r="AD195" s="102"/>
      <c r="AE195" s="102"/>
      <c r="AF195" s="102"/>
      <c r="AG195" s="102"/>
      <c r="AH195" s="102"/>
      <c r="AI195" s="102"/>
      <c r="AJ195" s="102"/>
      <c r="AK195" s="102"/>
      <c r="AL195" s="138"/>
      <c r="AM195" s="108"/>
      <c r="AN195" s="138"/>
      <c r="AO195" s="138"/>
      <c r="AP195" s="138"/>
      <c r="AQ195" s="108"/>
      <c r="AR195" s="108"/>
      <c r="AS195" s="111"/>
      <c r="AT195" s="118"/>
      <c r="AU195" s="102"/>
      <c r="AV195" s="135"/>
      <c r="AW195" s="131"/>
      <c r="AX195" s="106"/>
      <c r="AY195" s="102"/>
      <c r="AZ195" s="102"/>
      <c r="BA195" s="102"/>
      <c r="BB195" s="102"/>
      <c r="BC195" s="102"/>
      <c r="BD195" s="102"/>
      <c r="BE195" s="102"/>
      <c r="BF195" s="102"/>
      <c r="BG195" s="102"/>
      <c r="BH195" s="106"/>
      <c r="BI195" s="102"/>
      <c r="BJ195" s="102"/>
      <c r="BK195" s="102"/>
      <c r="BL195" s="102"/>
      <c r="BM195" s="102"/>
      <c r="BN195" s="102"/>
      <c r="BO195" s="132"/>
      <c r="BP195" s="102"/>
      <c r="BQ195" s="132"/>
      <c r="BR195" s="102"/>
      <c r="BS195" s="102"/>
      <c r="BT195" s="102"/>
      <c r="BU195" s="102"/>
      <c r="BV195" s="102"/>
      <c r="BW195" s="102"/>
      <c r="BX195" s="102"/>
      <c r="BY195" s="102"/>
      <c r="BZ195" s="102"/>
      <c r="CA195" s="102"/>
      <c r="CB195" s="102"/>
      <c r="CC195" s="102"/>
    </row>
    <row r="196" spans="1:81" ht="10.5" customHeight="1">
      <c r="A196" s="124"/>
      <c r="B196" s="101"/>
      <c r="C196" s="102"/>
      <c r="D196" s="102"/>
      <c r="E196" s="102"/>
      <c r="F196" s="137"/>
      <c r="G196" s="137"/>
      <c r="H196" s="137"/>
      <c r="I196" s="116"/>
      <c r="J196" s="102"/>
      <c r="K196" s="102"/>
      <c r="L196" s="105"/>
      <c r="M196" s="106"/>
      <c r="N196" s="101"/>
      <c r="O196" s="111"/>
      <c r="P196" s="111"/>
      <c r="Q196" s="102"/>
      <c r="R196" s="102"/>
      <c r="S196" s="106"/>
      <c r="T196" s="111"/>
      <c r="U196" s="111"/>
      <c r="V196" s="102"/>
      <c r="W196" s="102"/>
      <c r="X196" s="111"/>
      <c r="Y196" s="102"/>
      <c r="Z196" s="102"/>
      <c r="AA196" s="102"/>
      <c r="AB196" s="102"/>
      <c r="AC196" s="102"/>
      <c r="AD196" s="102"/>
      <c r="AE196" s="102"/>
      <c r="AF196" s="102"/>
      <c r="AG196" s="102"/>
      <c r="AH196" s="102"/>
      <c r="AI196" s="102"/>
      <c r="AJ196" s="102"/>
      <c r="AK196" s="102"/>
      <c r="AL196" s="138"/>
      <c r="AM196" s="108"/>
      <c r="AN196" s="138"/>
      <c r="AO196" s="138"/>
      <c r="AP196" s="138"/>
      <c r="AQ196" s="108"/>
      <c r="AR196" s="108"/>
      <c r="AS196" s="111"/>
      <c r="AT196" s="118"/>
      <c r="AU196" s="102"/>
      <c r="AV196" s="135"/>
      <c r="AW196" s="131"/>
      <c r="AX196" s="106"/>
      <c r="AY196" s="102"/>
      <c r="AZ196" s="102"/>
      <c r="BA196" s="102"/>
      <c r="BB196" s="102"/>
      <c r="BC196" s="102"/>
      <c r="BD196" s="102"/>
      <c r="BE196" s="102"/>
      <c r="BF196" s="102"/>
      <c r="BG196" s="102"/>
      <c r="BH196" s="106"/>
      <c r="BI196" s="102"/>
      <c r="BJ196" s="102"/>
      <c r="BK196" s="102"/>
      <c r="BL196" s="102"/>
      <c r="BM196" s="102"/>
      <c r="BN196" s="102"/>
      <c r="BO196" s="132"/>
      <c r="BP196" s="102"/>
      <c r="BQ196" s="132"/>
      <c r="BR196" s="102"/>
      <c r="BS196" s="102"/>
      <c r="BT196" s="102"/>
      <c r="BU196" s="102"/>
      <c r="BV196" s="102"/>
      <c r="BW196" s="102"/>
      <c r="BX196" s="102"/>
      <c r="BY196" s="102"/>
      <c r="BZ196" s="102"/>
      <c r="CA196" s="102"/>
      <c r="CB196" s="102"/>
      <c r="CC196" s="102"/>
    </row>
    <row r="197" spans="1:81" ht="10.5" customHeight="1">
      <c r="A197" s="124"/>
      <c r="B197" s="101"/>
      <c r="C197" s="102"/>
      <c r="D197" s="102"/>
      <c r="E197" s="102"/>
      <c r="F197" s="137"/>
      <c r="G197" s="137"/>
      <c r="H197" s="137"/>
      <c r="I197" s="116"/>
      <c r="J197" s="102"/>
      <c r="K197" s="102"/>
      <c r="L197" s="105"/>
      <c r="M197" s="106"/>
      <c r="N197" s="101"/>
      <c r="O197" s="111"/>
      <c r="P197" s="111"/>
      <c r="Q197" s="102"/>
      <c r="R197" s="102"/>
      <c r="S197" s="106"/>
      <c r="T197" s="111"/>
      <c r="U197" s="111"/>
      <c r="V197" s="102"/>
      <c r="W197" s="102"/>
      <c r="X197" s="111"/>
      <c r="Y197" s="102"/>
      <c r="Z197" s="102"/>
      <c r="AA197" s="102"/>
      <c r="AB197" s="102"/>
      <c r="AC197" s="102"/>
      <c r="AD197" s="102"/>
      <c r="AE197" s="102"/>
      <c r="AF197" s="102"/>
      <c r="AG197" s="102"/>
      <c r="AH197" s="102"/>
      <c r="AI197" s="102"/>
      <c r="AJ197" s="102"/>
      <c r="AK197" s="102"/>
      <c r="AL197" s="138"/>
      <c r="AM197" s="108"/>
      <c r="AN197" s="138"/>
      <c r="AO197" s="138"/>
      <c r="AP197" s="138"/>
      <c r="AQ197" s="108"/>
      <c r="AR197" s="108"/>
      <c r="AS197" s="111"/>
      <c r="AT197" s="118"/>
      <c r="AU197" s="102"/>
      <c r="AV197" s="135"/>
      <c r="AW197" s="131"/>
      <c r="AX197" s="106"/>
      <c r="AY197" s="102"/>
      <c r="AZ197" s="102"/>
      <c r="BA197" s="102"/>
      <c r="BB197" s="102"/>
      <c r="BC197" s="102"/>
      <c r="BD197" s="102"/>
      <c r="BE197" s="102"/>
      <c r="BF197" s="102"/>
      <c r="BG197" s="102"/>
      <c r="BH197" s="106"/>
      <c r="BI197" s="102"/>
      <c r="BJ197" s="102"/>
      <c r="BK197" s="102"/>
      <c r="BL197" s="102"/>
      <c r="BM197" s="102"/>
      <c r="BN197" s="102"/>
      <c r="BO197" s="132"/>
      <c r="BP197" s="102"/>
      <c r="BQ197" s="132"/>
      <c r="BR197" s="102"/>
      <c r="BS197" s="102"/>
      <c r="BT197" s="102"/>
      <c r="BU197" s="102"/>
      <c r="BV197" s="102"/>
      <c r="BW197" s="102"/>
      <c r="BX197" s="102"/>
      <c r="BY197" s="102"/>
      <c r="BZ197" s="102"/>
      <c r="CA197" s="102"/>
      <c r="CB197" s="102"/>
      <c r="CC197" s="102"/>
    </row>
    <row r="198" spans="1:81" ht="10.5" customHeight="1">
      <c r="A198" s="124"/>
      <c r="B198" s="101"/>
      <c r="C198" s="102"/>
      <c r="D198" s="102"/>
      <c r="E198" s="102"/>
      <c r="F198" s="137"/>
      <c r="G198" s="137"/>
      <c r="H198" s="137"/>
      <c r="I198" s="116"/>
      <c r="J198" s="102"/>
      <c r="K198" s="102"/>
      <c r="L198" s="105"/>
      <c r="M198" s="106"/>
      <c r="N198" s="101"/>
      <c r="O198" s="111"/>
      <c r="P198" s="111"/>
      <c r="Q198" s="102"/>
      <c r="R198" s="102"/>
      <c r="S198" s="106"/>
      <c r="T198" s="111"/>
      <c r="U198" s="111"/>
      <c r="V198" s="102"/>
      <c r="W198" s="102"/>
      <c r="X198" s="111"/>
      <c r="Y198" s="102"/>
      <c r="Z198" s="102"/>
      <c r="AA198" s="102"/>
      <c r="AB198" s="102"/>
      <c r="AC198" s="102"/>
      <c r="AD198" s="102"/>
      <c r="AE198" s="102"/>
      <c r="AF198" s="102"/>
      <c r="AG198" s="102"/>
      <c r="AH198" s="102"/>
      <c r="AI198" s="102"/>
      <c r="AJ198" s="102"/>
      <c r="AK198" s="102"/>
      <c r="AL198" s="138"/>
      <c r="AM198" s="108"/>
      <c r="AN198" s="138"/>
      <c r="AO198" s="138"/>
      <c r="AP198" s="138"/>
      <c r="AQ198" s="108"/>
      <c r="AR198" s="108"/>
      <c r="AS198" s="111"/>
      <c r="AT198" s="118"/>
      <c r="AU198" s="102"/>
      <c r="AV198" s="135"/>
      <c r="AW198" s="131"/>
      <c r="AX198" s="106"/>
      <c r="AY198" s="102"/>
      <c r="AZ198" s="102"/>
      <c r="BA198" s="102"/>
      <c r="BB198" s="102"/>
      <c r="BC198" s="102"/>
      <c r="BD198" s="102"/>
      <c r="BE198" s="102"/>
      <c r="BF198" s="102"/>
      <c r="BG198" s="102"/>
      <c r="BH198" s="106"/>
      <c r="BI198" s="102"/>
      <c r="BJ198" s="102"/>
      <c r="BK198" s="102"/>
      <c r="BL198" s="102"/>
      <c r="BM198" s="102"/>
      <c r="BN198" s="102"/>
      <c r="BO198" s="132"/>
      <c r="BP198" s="102"/>
      <c r="BQ198" s="132"/>
      <c r="BR198" s="102"/>
      <c r="BS198" s="102"/>
      <c r="BT198" s="102"/>
      <c r="BU198" s="102"/>
      <c r="BV198" s="102"/>
      <c r="BW198" s="102"/>
      <c r="BX198" s="102"/>
      <c r="BY198" s="102"/>
      <c r="BZ198" s="102"/>
      <c r="CA198" s="102"/>
      <c r="CB198" s="102"/>
      <c r="CC198" s="102"/>
    </row>
    <row r="199" spans="1:81" ht="10.5" customHeight="1">
      <c r="A199" s="124"/>
      <c r="B199" s="101"/>
      <c r="C199" s="102"/>
      <c r="D199" s="102"/>
      <c r="E199" s="102"/>
      <c r="F199" s="137"/>
      <c r="G199" s="137"/>
      <c r="H199" s="137"/>
      <c r="I199" s="116"/>
      <c r="J199" s="102"/>
      <c r="K199" s="102"/>
      <c r="L199" s="105"/>
      <c r="M199" s="106"/>
      <c r="N199" s="101"/>
      <c r="O199" s="111"/>
      <c r="P199" s="111"/>
      <c r="Q199" s="102"/>
      <c r="R199" s="102"/>
      <c r="S199" s="106"/>
      <c r="T199" s="111"/>
      <c r="U199" s="111"/>
      <c r="V199" s="102"/>
      <c r="W199" s="102"/>
      <c r="X199" s="111"/>
      <c r="Y199" s="102"/>
      <c r="Z199" s="102"/>
      <c r="AA199" s="102"/>
      <c r="AB199" s="102"/>
      <c r="AC199" s="102"/>
      <c r="AD199" s="102"/>
      <c r="AE199" s="102"/>
      <c r="AF199" s="102"/>
      <c r="AG199" s="102"/>
      <c r="AH199" s="102"/>
      <c r="AI199" s="102"/>
      <c r="AJ199" s="102"/>
      <c r="AK199" s="102"/>
      <c r="AL199" s="138"/>
      <c r="AM199" s="108"/>
      <c r="AN199" s="138"/>
      <c r="AO199" s="138"/>
      <c r="AP199" s="138"/>
      <c r="AQ199" s="108"/>
      <c r="AR199" s="108"/>
      <c r="AS199" s="111"/>
      <c r="AT199" s="118"/>
      <c r="AU199" s="102"/>
      <c r="AV199" s="135"/>
      <c r="AW199" s="131"/>
      <c r="AX199" s="106"/>
      <c r="AY199" s="102"/>
      <c r="AZ199" s="102"/>
      <c r="BA199" s="102"/>
      <c r="BB199" s="102"/>
      <c r="BC199" s="102"/>
      <c r="BD199" s="102"/>
      <c r="BE199" s="102"/>
      <c r="BF199" s="102"/>
      <c r="BG199" s="102"/>
      <c r="BH199" s="106"/>
      <c r="BI199" s="102"/>
      <c r="BJ199" s="102"/>
      <c r="BK199" s="102"/>
      <c r="BL199" s="102"/>
      <c r="BM199" s="102"/>
      <c r="BN199" s="102"/>
      <c r="BO199" s="132"/>
      <c r="BP199" s="102"/>
      <c r="BQ199" s="132"/>
      <c r="BR199" s="102"/>
      <c r="BS199" s="102"/>
      <c r="BT199" s="102"/>
      <c r="BU199" s="102"/>
      <c r="BV199" s="102"/>
      <c r="BW199" s="102"/>
      <c r="BX199" s="102"/>
      <c r="BY199" s="102"/>
      <c r="BZ199" s="102"/>
      <c r="CA199" s="102"/>
      <c r="CB199" s="102"/>
      <c r="CC199" s="102"/>
    </row>
    <row r="200" spans="1:81" ht="10.5" customHeight="1">
      <c r="A200" s="124"/>
      <c r="B200" s="101"/>
      <c r="C200" s="102"/>
      <c r="D200" s="102"/>
      <c r="E200" s="102"/>
      <c r="F200" s="137"/>
      <c r="G200" s="137"/>
      <c r="H200" s="137"/>
      <c r="I200" s="116"/>
      <c r="J200" s="102"/>
      <c r="K200" s="102"/>
      <c r="L200" s="105"/>
      <c r="M200" s="106"/>
      <c r="N200" s="101"/>
      <c r="O200" s="111"/>
      <c r="P200" s="111"/>
      <c r="Q200" s="102"/>
      <c r="R200" s="102"/>
      <c r="S200" s="106"/>
      <c r="T200" s="111"/>
      <c r="U200" s="111"/>
      <c r="V200" s="102"/>
      <c r="W200" s="102"/>
      <c r="X200" s="111"/>
      <c r="Y200" s="102"/>
      <c r="Z200" s="102"/>
      <c r="AA200" s="102"/>
      <c r="AB200" s="102"/>
      <c r="AC200" s="102"/>
      <c r="AD200" s="102"/>
      <c r="AE200" s="102"/>
      <c r="AF200" s="102"/>
      <c r="AG200" s="102"/>
      <c r="AH200" s="102"/>
      <c r="AI200" s="102"/>
      <c r="AJ200" s="102"/>
      <c r="AK200" s="102"/>
      <c r="AL200" s="138"/>
      <c r="AM200" s="108"/>
      <c r="AN200" s="138"/>
      <c r="AO200" s="138"/>
      <c r="AP200" s="138"/>
      <c r="AQ200" s="108"/>
      <c r="AR200" s="108"/>
      <c r="AS200" s="111"/>
      <c r="AT200" s="118"/>
      <c r="AU200" s="102"/>
      <c r="AV200" s="135"/>
      <c r="AW200" s="131"/>
      <c r="AX200" s="106"/>
      <c r="AY200" s="102"/>
      <c r="AZ200" s="102"/>
      <c r="BA200" s="102"/>
      <c r="BB200" s="102"/>
      <c r="BC200" s="102"/>
      <c r="BD200" s="102"/>
      <c r="BE200" s="102"/>
      <c r="BF200" s="102"/>
      <c r="BG200" s="102"/>
      <c r="BH200" s="106"/>
      <c r="BI200" s="102"/>
      <c r="BJ200" s="102"/>
      <c r="BK200" s="102"/>
      <c r="BL200" s="102"/>
      <c r="BM200" s="102"/>
      <c r="BN200" s="102"/>
      <c r="BO200" s="132"/>
      <c r="BP200" s="102"/>
      <c r="BQ200" s="132"/>
      <c r="BR200" s="102"/>
      <c r="BS200" s="102"/>
      <c r="BT200" s="102"/>
      <c r="BU200" s="102"/>
      <c r="BV200" s="102"/>
      <c r="BW200" s="102"/>
      <c r="BX200" s="102"/>
      <c r="BY200" s="102"/>
      <c r="BZ200" s="102"/>
      <c r="CA200" s="102"/>
      <c r="CB200" s="102"/>
      <c r="CC200" s="102"/>
    </row>
    <row r="201" spans="1:81" ht="10.5" customHeight="1">
      <c r="A201" s="124"/>
      <c r="B201" s="101"/>
      <c r="C201" s="102"/>
      <c r="D201" s="102"/>
      <c r="E201" s="102"/>
      <c r="F201" s="137"/>
      <c r="G201" s="137"/>
      <c r="H201" s="137"/>
      <c r="I201" s="116"/>
      <c r="J201" s="102"/>
      <c r="K201" s="102"/>
      <c r="L201" s="105"/>
      <c r="M201" s="106"/>
      <c r="N201" s="101"/>
      <c r="O201" s="111"/>
      <c r="P201" s="111"/>
      <c r="Q201" s="102"/>
      <c r="R201" s="102"/>
      <c r="S201" s="106"/>
      <c r="T201" s="111"/>
      <c r="U201" s="111"/>
      <c r="V201" s="102"/>
      <c r="W201" s="102"/>
      <c r="X201" s="111"/>
      <c r="Y201" s="102"/>
      <c r="Z201" s="102"/>
      <c r="AA201" s="102"/>
      <c r="AB201" s="102"/>
      <c r="AC201" s="102"/>
      <c r="AD201" s="102"/>
      <c r="AE201" s="102"/>
      <c r="AF201" s="102"/>
      <c r="AG201" s="102"/>
      <c r="AH201" s="102"/>
      <c r="AI201" s="102"/>
      <c r="AJ201" s="102"/>
      <c r="AK201" s="102"/>
      <c r="AL201" s="138"/>
      <c r="AM201" s="108"/>
      <c r="AN201" s="138"/>
      <c r="AO201" s="138"/>
      <c r="AP201" s="138"/>
      <c r="AQ201" s="108"/>
      <c r="AR201" s="108"/>
      <c r="AS201" s="111"/>
      <c r="AT201" s="118"/>
      <c r="AU201" s="102"/>
      <c r="AV201" s="135"/>
      <c r="AW201" s="131"/>
      <c r="AX201" s="106"/>
      <c r="AY201" s="102"/>
      <c r="AZ201" s="102"/>
      <c r="BA201" s="102"/>
      <c r="BB201" s="102"/>
      <c r="BC201" s="102"/>
      <c r="BD201" s="102"/>
      <c r="BE201" s="102"/>
      <c r="BF201" s="102"/>
      <c r="BG201" s="102"/>
      <c r="BH201" s="106"/>
      <c r="BI201" s="102"/>
      <c r="BJ201" s="102"/>
      <c r="BK201" s="102"/>
      <c r="BL201" s="102"/>
      <c r="BM201" s="102"/>
      <c r="BN201" s="102"/>
      <c r="BO201" s="132"/>
      <c r="BP201" s="102"/>
      <c r="BQ201" s="132"/>
      <c r="BR201" s="102"/>
      <c r="BS201" s="102"/>
      <c r="BT201" s="102"/>
      <c r="BU201" s="102"/>
      <c r="BV201" s="102"/>
      <c r="BW201" s="102"/>
      <c r="BX201" s="102"/>
      <c r="BY201" s="102"/>
      <c r="BZ201" s="102"/>
      <c r="CA201" s="102"/>
      <c r="CB201" s="102"/>
      <c r="CC201" s="102"/>
    </row>
    <row r="202" spans="1:81" ht="10.5" customHeight="1">
      <c r="A202" s="124"/>
      <c r="B202" s="101"/>
      <c r="C202" s="102"/>
      <c r="D202" s="102"/>
      <c r="E202" s="102"/>
      <c r="F202" s="137"/>
      <c r="G202" s="137"/>
      <c r="H202" s="137"/>
      <c r="I202" s="116"/>
      <c r="J202" s="102"/>
      <c r="K202" s="102"/>
      <c r="L202" s="105"/>
      <c r="M202" s="106"/>
      <c r="N202" s="101"/>
      <c r="O202" s="111"/>
      <c r="P202" s="111"/>
      <c r="Q202" s="102"/>
      <c r="R202" s="102"/>
      <c r="S202" s="106"/>
      <c r="T202" s="111"/>
      <c r="U202" s="111"/>
      <c r="V202" s="102"/>
      <c r="W202" s="102"/>
      <c r="X202" s="111"/>
      <c r="Y202" s="102"/>
      <c r="Z202" s="102"/>
      <c r="AA202" s="102"/>
      <c r="AB202" s="102"/>
      <c r="AC202" s="102"/>
      <c r="AD202" s="102"/>
      <c r="AE202" s="102"/>
      <c r="AF202" s="102"/>
      <c r="AG202" s="102"/>
      <c r="AH202" s="102"/>
      <c r="AI202" s="102"/>
      <c r="AJ202" s="102"/>
      <c r="AK202" s="102"/>
      <c r="AL202" s="138"/>
      <c r="AM202" s="108"/>
      <c r="AN202" s="138"/>
      <c r="AO202" s="138"/>
      <c r="AP202" s="138"/>
      <c r="AQ202" s="108"/>
      <c r="AR202" s="108"/>
      <c r="AS202" s="111"/>
      <c r="AT202" s="118"/>
      <c r="AU202" s="102"/>
      <c r="AV202" s="135"/>
      <c r="AW202" s="131"/>
      <c r="AX202" s="106"/>
      <c r="AY202" s="102"/>
      <c r="AZ202" s="102"/>
      <c r="BA202" s="102"/>
      <c r="BB202" s="102"/>
      <c r="BC202" s="102"/>
      <c r="BD202" s="102"/>
      <c r="BE202" s="102"/>
      <c r="BF202" s="102"/>
      <c r="BG202" s="102"/>
      <c r="BH202" s="106"/>
      <c r="BI202" s="102"/>
      <c r="BJ202" s="102"/>
      <c r="BK202" s="102"/>
      <c r="BL202" s="102"/>
      <c r="BM202" s="102"/>
      <c r="BN202" s="102"/>
      <c r="BO202" s="132"/>
      <c r="BP202" s="102"/>
      <c r="BQ202" s="132"/>
      <c r="BR202" s="102"/>
      <c r="BS202" s="102"/>
      <c r="BT202" s="102"/>
      <c r="BU202" s="102"/>
      <c r="BV202" s="102"/>
      <c r="BW202" s="102"/>
      <c r="BX202" s="102"/>
      <c r="BY202" s="102"/>
      <c r="BZ202" s="102"/>
      <c r="CA202" s="102"/>
      <c r="CB202" s="102"/>
      <c r="CC202" s="102"/>
    </row>
    <row r="203" spans="1:81" ht="10.5" customHeight="1">
      <c r="A203" s="124"/>
      <c r="B203" s="101"/>
      <c r="C203" s="102"/>
      <c r="D203" s="102"/>
      <c r="E203" s="102"/>
      <c r="F203" s="137"/>
      <c r="G203" s="137"/>
      <c r="H203" s="137"/>
      <c r="I203" s="116"/>
      <c r="J203" s="102"/>
      <c r="K203" s="102"/>
      <c r="L203" s="105"/>
      <c r="M203" s="106"/>
      <c r="N203" s="101"/>
      <c r="O203" s="111"/>
      <c r="P203" s="111"/>
      <c r="Q203" s="102"/>
      <c r="R203" s="102"/>
      <c r="S203" s="106"/>
      <c r="T203" s="111"/>
      <c r="U203" s="111"/>
      <c r="V203" s="102"/>
      <c r="W203" s="102"/>
      <c r="X203" s="111"/>
      <c r="Y203" s="102"/>
      <c r="Z203" s="102"/>
      <c r="AA203" s="102"/>
      <c r="AB203" s="102"/>
      <c r="AC203" s="102"/>
      <c r="AD203" s="102"/>
      <c r="AE203" s="102"/>
      <c r="AF203" s="102"/>
      <c r="AG203" s="102"/>
      <c r="AH203" s="102"/>
      <c r="AI203" s="102"/>
      <c r="AJ203" s="102"/>
      <c r="AK203" s="102"/>
      <c r="AL203" s="138"/>
      <c r="AM203" s="108"/>
      <c r="AN203" s="138"/>
      <c r="AO203" s="138"/>
      <c r="AP203" s="138"/>
      <c r="AQ203" s="108"/>
      <c r="AR203" s="108"/>
      <c r="AS203" s="111"/>
      <c r="AT203" s="118"/>
      <c r="AU203" s="102"/>
      <c r="AV203" s="135"/>
      <c r="AW203" s="131"/>
      <c r="AX203" s="106"/>
      <c r="AY203" s="102"/>
      <c r="AZ203" s="102"/>
      <c r="BA203" s="102"/>
      <c r="BB203" s="102"/>
      <c r="BC203" s="102"/>
      <c r="BD203" s="102"/>
      <c r="BE203" s="102"/>
      <c r="BF203" s="102"/>
      <c r="BG203" s="102"/>
      <c r="BH203" s="106"/>
      <c r="BI203" s="102"/>
      <c r="BJ203" s="102"/>
      <c r="BK203" s="102"/>
      <c r="BL203" s="102"/>
      <c r="BM203" s="102"/>
      <c r="BN203" s="102"/>
      <c r="BO203" s="132"/>
      <c r="BP203" s="102"/>
      <c r="BQ203" s="132"/>
      <c r="BR203" s="102"/>
      <c r="BS203" s="102"/>
      <c r="BT203" s="102"/>
      <c r="BU203" s="102"/>
      <c r="BV203" s="102"/>
      <c r="BW203" s="102"/>
      <c r="BX203" s="102"/>
      <c r="BY203" s="102"/>
      <c r="BZ203" s="102"/>
      <c r="CA203" s="102"/>
      <c r="CB203" s="102"/>
      <c r="CC203" s="102"/>
    </row>
    <row r="204" spans="1:81" ht="10.5" customHeight="1">
      <c r="A204" s="124"/>
      <c r="B204" s="101"/>
      <c r="C204" s="102"/>
      <c r="D204" s="102"/>
      <c r="E204" s="102"/>
      <c r="F204" s="137"/>
      <c r="G204" s="137"/>
      <c r="H204" s="137"/>
      <c r="I204" s="116"/>
      <c r="J204" s="102"/>
      <c r="K204" s="102"/>
      <c r="L204" s="105"/>
      <c r="M204" s="106"/>
      <c r="N204" s="101"/>
      <c r="O204" s="111"/>
      <c r="P204" s="111"/>
      <c r="Q204" s="102"/>
      <c r="R204" s="102"/>
      <c r="S204" s="106"/>
      <c r="T204" s="111"/>
      <c r="U204" s="111"/>
      <c r="V204" s="102"/>
      <c r="W204" s="102"/>
      <c r="X204" s="111"/>
      <c r="Y204" s="102"/>
      <c r="Z204" s="102"/>
      <c r="AA204" s="102"/>
      <c r="AB204" s="102"/>
      <c r="AC204" s="102"/>
      <c r="AD204" s="102"/>
      <c r="AE204" s="102"/>
      <c r="AF204" s="102"/>
      <c r="AG204" s="102"/>
      <c r="AH204" s="102"/>
      <c r="AI204" s="102"/>
      <c r="AJ204" s="102"/>
      <c r="AK204" s="102"/>
      <c r="AL204" s="138"/>
      <c r="AM204" s="108"/>
      <c r="AN204" s="138"/>
      <c r="AO204" s="138"/>
      <c r="AP204" s="138"/>
      <c r="AQ204" s="108"/>
      <c r="AR204" s="108"/>
      <c r="AS204" s="111"/>
      <c r="AT204" s="118"/>
      <c r="AU204" s="102"/>
      <c r="AV204" s="135"/>
      <c r="AW204" s="131"/>
      <c r="AX204" s="106"/>
      <c r="AY204" s="102"/>
      <c r="AZ204" s="102"/>
      <c r="BA204" s="102"/>
      <c r="BB204" s="102"/>
      <c r="BC204" s="102"/>
      <c r="BD204" s="102"/>
      <c r="BE204" s="102"/>
      <c r="BF204" s="102"/>
      <c r="BG204" s="102"/>
      <c r="BH204" s="106"/>
      <c r="BI204" s="102"/>
      <c r="BJ204" s="102"/>
      <c r="BK204" s="102"/>
      <c r="BL204" s="102"/>
      <c r="BM204" s="102"/>
      <c r="BN204" s="102"/>
      <c r="BO204" s="132"/>
      <c r="BP204" s="102"/>
      <c r="BQ204" s="132"/>
      <c r="BR204" s="102"/>
      <c r="BS204" s="102"/>
      <c r="BT204" s="102"/>
      <c r="BU204" s="102"/>
      <c r="BV204" s="102"/>
      <c r="BW204" s="102"/>
      <c r="BX204" s="102"/>
      <c r="BY204" s="102"/>
      <c r="BZ204" s="102"/>
      <c r="CA204" s="102"/>
      <c r="CB204" s="102"/>
      <c r="CC204" s="102"/>
    </row>
    <row r="205" spans="1:81" ht="10.5" customHeight="1">
      <c r="A205" s="124"/>
      <c r="B205" s="101"/>
      <c r="C205" s="102"/>
      <c r="D205" s="102"/>
      <c r="E205" s="102"/>
      <c r="F205" s="137"/>
      <c r="G205" s="137"/>
      <c r="H205" s="137"/>
      <c r="I205" s="116"/>
      <c r="J205" s="102"/>
      <c r="K205" s="102"/>
      <c r="L205" s="105"/>
      <c r="M205" s="106"/>
      <c r="N205" s="101"/>
      <c r="O205" s="111"/>
      <c r="P205" s="111"/>
      <c r="Q205" s="102"/>
      <c r="R205" s="102"/>
      <c r="S205" s="106"/>
      <c r="T205" s="111"/>
      <c r="U205" s="111"/>
      <c r="V205" s="102"/>
      <c r="W205" s="102"/>
      <c r="X205" s="111"/>
      <c r="Y205" s="102"/>
      <c r="Z205" s="102"/>
      <c r="AA205" s="102"/>
      <c r="AB205" s="102"/>
      <c r="AC205" s="102"/>
      <c r="AD205" s="102"/>
      <c r="AE205" s="102"/>
      <c r="AF205" s="102"/>
      <c r="AG205" s="102"/>
      <c r="AH205" s="102"/>
      <c r="AI205" s="102"/>
      <c r="AJ205" s="102"/>
      <c r="AK205" s="102"/>
      <c r="AL205" s="138"/>
      <c r="AM205" s="108"/>
      <c r="AN205" s="138"/>
      <c r="AO205" s="138"/>
      <c r="AP205" s="138"/>
      <c r="AQ205" s="108"/>
      <c r="AR205" s="108"/>
      <c r="AS205" s="111"/>
      <c r="AT205" s="118"/>
      <c r="AU205" s="102"/>
      <c r="AV205" s="135"/>
      <c r="AW205" s="131"/>
      <c r="AX205" s="106"/>
      <c r="AY205" s="102"/>
      <c r="AZ205" s="102"/>
      <c r="BA205" s="102"/>
      <c r="BB205" s="102"/>
      <c r="BC205" s="102"/>
      <c r="BD205" s="102"/>
      <c r="BE205" s="102"/>
      <c r="BF205" s="102"/>
      <c r="BG205" s="102"/>
      <c r="BH205" s="106"/>
      <c r="BI205" s="102"/>
      <c r="BJ205" s="102"/>
      <c r="BK205" s="102"/>
      <c r="BL205" s="102"/>
      <c r="BM205" s="102"/>
      <c r="BN205" s="102"/>
      <c r="BO205" s="132"/>
      <c r="BP205" s="102"/>
      <c r="BQ205" s="132"/>
      <c r="BR205" s="102"/>
      <c r="BS205" s="102"/>
      <c r="BT205" s="102"/>
      <c r="BU205" s="102"/>
      <c r="BV205" s="102"/>
      <c r="BW205" s="102"/>
      <c r="BX205" s="102"/>
      <c r="BY205" s="102"/>
      <c r="BZ205" s="102"/>
      <c r="CA205" s="102"/>
      <c r="CB205" s="102"/>
      <c r="CC205" s="102"/>
    </row>
    <row r="206" spans="1:81" ht="10.5" customHeight="1">
      <c r="A206" s="124"/>
      <c r="B206" s="101" t="s">
        <v>163</v>
      </c>
      <c r="C206" s="102"/>
      <c r="D206" s="102"/>
      <c r="E206" s="102"/>
      <c r="F206" s="137"/>
      <c r="G206" s="137"/>
      <c r="H206" s="137"/>
      <c r="I206" s="116"/>
      <c r="J206" s="102"/>
      <c r="K206" s="102"/>
      <c r="L206" s="105"/>
      <c r="M206" s="106"/>
      <c r="N206" s="101"/>
      <c r="O206" s="111"/>
      <c r="P206" s="111"/>
      <c r="Q206" s="102"/>
      <c r="R206" s="102"/>
      <c r="S206" s="106"/>
      <c r="T206" s="111"/>
      <c r="U206" s="111"/>
      <c r="V206" s="102"/>
      <c r="W206" s="102"/>
      <c r="X206" s="111"/>
      <c r="Y206" s="102"/>
      <c r="Z206" s="102"/>
      <c r="AA206" s="102"/>
      <c r="AB206" s="102"/>
      <c r="AC206" s="102"/>
      <c r="AD206" s="102"/>
      <c r="AE206" s="102"/>
      <c r="AF206" s="102"/>
      <c r="AG206" s="102"/>
      <c r="AH206" s="102"/>
      <c r="AI206" s="102"/>
      <c r="AJ206" s="102"/>
      <c r="AK206" s="102"/>
      <c r="AL206" s="138"/>
      <c r="AM206" s="108"/>
      <c r="AN206" s="138"/>
      <c r="AO206" s="138"/>
      <c r="AP206" s="138"/>
      <c r="AQ206" s="108"/>
      <c r="AR206" s="108"/>
      <c r="AS206" s="111"/>
      <c r="AT206" s="118"/>
      <c r="AU206" s="102"/>
      <c r="AV206" s="135"/>
      <c r="AW206" s="131"/>
      <c r="AX206" s="106"/>
      <c r="AY206" s="102"/>
      <c r="AZ206" s="102"/>
      <c r="BA206" s="102"/>
      <c r="BB206" s="102"/>
      <c r="BC206" s="102"/>
      <c r="BD206" s="102"/>
      <c r="BE206" s="102"/>
      <c r="BF206" s="102"/>
      <c r="BG206" s="102"/>
      <c r="BH206" s="106"/>
      <c r="BI206" s="102"/>
      <c r="BJ206" s="102"/>
      <c r="BK206" s="102"/>
      <c r="BL206" s="102"/>
      <c r="BM206" s="102"/>
      <c r="BN206" s="102"/>
      <c r="BO206" s="132"/>
      <c r="BP206" s="102"/>
      <c r="BQ206" s="132"/>
      <c r="BR206" s="102"/>
      <c r="BS206" s="102"/>
      <c r="BT206" s="102"/>
      <c r="BU206" s="102"/>
      <c r="BV206" s="102"/>
      <c r="BW206" s="102"/>
      <c r="BX206" s="102"/>
      <c r="BY206" s="102"/>
      <c r="BZ206" s="102"/>
      <c r="CA206" s="102"/>
      <c r="CB206" s="102"/>
      <c r="CC206" s="102"/>
    </row>
    <row r="207" spans="1:81" ht="15.75" customHeight="1">
      <c r="A207" s="139"/>
      <c r="M207" s="140"/>
      <c r="S207" s="140"/>
      <c r="AT207" s="141"/>
      <c r="AW207" s="140"/>
      <c r="AX207" s="140"/>
      <c r="BH207" s="140"/>
    </row>
    <row r="208" spans="1:81" ht="15.75" customHeight="1">
      <c r="A208" s="139"/>
      <c r="M208" s="140"/>
      <c r="S208" s="140"/>
      <c r="AT208" s="141"/>
      <c r="AW208" s="140"/>
      <c r="AX208" s="140"/>
      <c r="BH208" s="140"/>
    </row>
    <row r="209" spans="1:60" ht="15.75" customHeight="1">
      <c r="A209" s="139"/>
      <c r="M209" s="140"/>
      <c r="S209" s="140"/>
      <c r="AT209" s="141"/>
      <c r="AW209" s="140"/>
      <c r="AX209" s="140"/>
      <c r="BH209" s="140"/>
    </row>
    <row r="210" spans="1:60" ht="15.75" customHeight="1">
      <c r="A210" s="139"/>
      <c r="M210" s="140"/>
      <c r="S210" s="140"/>
      <c r="AT210" s="141"/>
      <c r="AW210" s="140"/>
      <c r="AX210" s="140"/>
      <c r="BH210" s="140"/>
    </row>
    <row r="211" spans="1:60" ht="15.75" customHeight="1">
      <c r="A211" s="139"/>
      <c r="M211" s="140"/>
      <c r="S211" s="140"/>
      <c r="AT211" s="141"/>
      <c r="AW211" s="140"/>
      <c r="AX211" s="140"/>
      <c r="BH211" s="140"/>
    </row>
    <row r="212" spans="1:60" ht="15.75" customHeight="1">
      <c r="A212" s="139"/>
      <c r="M212" s="140"/>
      <c r="S212" s="140"/>
      <c r="AT212" s="141"/>
      <c r="AW212" s="140"/>
      <c r="AX212" s="140"/>
      <c r="BH212" s="140"/>
    </row>
    <row r="213" spans="1:60" ht="15.75" customHeight="1">
      <c r="A213" s="139"/>
      <c r="M213" s="140"/>
      <c r="S213" s="140"/>
      <c r="AT213" s="141"/>
      <c r="AW213" s="140"/>
      <c r="AX213" s="140"/>
      <c r="BH213" s="140"/>
    </row>
    <row r="214" spans="1:60" ht="15.75" customHeight="1">
      <c r="A214" s="139"/>
      <c r="M214" s="140"/>
      <c r="S214" s="140"/>
      <c r="AT214" s="141"/>
      <c r="AW214" s="140"/>
      <c r="AX214" s="140"/>
      <c r="BH214" s="140"/>
    </row>
    <row r="215" spans="1:60" ht="15.75" customHeight="1">
      <c r="A215" s="139"/>
      <c r="M215" s="140"/>
      <c r="S215" s="140"/>
      <c r="AT215" s="141"/>
      <c r="AW215" s="140"/>
      <c r="AX215" s="140"/>
      <c r="BH215" s="140"/>
    </row>
    <row r="216" spans="1:60" ht="15.75" customHeight="1">
      <c r="A216" s="139"/>
      <c r="M216" s="140"/>
      <c r="S216" s="140"/>
      <c r="AT216" s="141"/>
      <c r="AW216" s="140"/>
      <c r="AX216" s="140"/>
      <c r="BH216" s="140"/>
    </row>
    <row r="217" spans="1:60" ht="15.75" customHeight="1">
      <c r="A217" s="139"/>
      <c r="M217" s="140"/>
      <c r="S217" s="140"/>
      <c r="AT217" s="141"/>
      <c r="AW217" s="140"/>
      <c r="AX217" s="140"/>
      <c r="BH217" s="140"/>
    </row>
    <row r="218" spans="1:60" ht="15.75" customHeight="1">
      <c r="A218" s="139"/>
      <c r="M218" s="140"/>
      <c r="S218" s="140"/>
      <c r="AT218" s="141"/>
      <c r="AW218" s="140"/>
      <c r="AX218" s="140"/>
      <c r="BH218" s="140"/>
    </row>
    <row r="219" spans="1:60" ht="15.75" customHeight="1">
      <c r="A219" s="139"/>
      <c r="M219" s="140"/>
      <c r="S219" s="140"/>
      <c r="AT219" s="141"/>
      <c r="AW219" s="140"/>
      <c r="AX219" s="140"/>
      <c r="BH219" s="140"/>
    </row>
    <row r="220" spans="1:60" ht="15.75" customHeight="1">
      <c r="A220" s="139"/>
      <c r="M220" s="140"/>
      <c r="S220" s="140"/>
      <c r="AT220" s="141"/>
      <c r="AW220" s="140"/>
      <c r="AX220" s="140"/>
      <c r="BH220" s="140"/>
    </row>
    <row r="221" spans="1:60" ht="15.75" customHeight="1">
      <c r="A221" s="139"/>
      <c r="M221" s="140"/>
      <c r="S221" s="140"/>
      <c r="AT221" s="141"/>
      <c r="AW221" s="140"/>
      <c r="AX221" s="140"/>
      <c r="BH221" s="140"/>
    </row>
    <row r="222" spans="1:60" ht="15.75" customHeight="1">
      <c r="A222" s="139"/>
      <c r="M222" s="140"/>
      <c r="S222" s="140"/>
      <c r="AT222" s="141"/>
      <c r="AW222" s="140"/>
      <c r="AX222" s="140"/>
      <c r="BH222" s="140"/>
    </row>
    <row r="223" spans="1:60" ht="15.75" customHeight="1">
      <c r="A223" s="139"/>
      <c r="M223" s="140"/>
      <c r="S223" s="140"/>
      <c r="AT223" s="141"/>
      <c r="AW223" s="140"/>
      <c r="AX223" s="140"/>
      <c r="BH223" s="140"/>
    </row>
    <row r="224" spans="1:60" ht="15.75" customHeight="1">
      <c r="A224" s="139"/>
      <c r="M224" s="140"/>
      <c r="S224" s="140"/>
      <c r="AT224" s="141"/>
      <c r="AW224" s="140"/>
      <c r="AX224" s="140"/>
      <c r="BH224" s="140"/>
    </row>
    <row r="225" spans="1:60" ht="15.75" customHeight="1">
      <c r="A225" s="139"/>
      <c r="M225" s="140"/>
      <c r="S225" s="140"/>
      <c r="AT225" s="141"/>
      <c r="AW225" s="140"/>
      <c r="AX225" s="140"/>
      <c r="BH225" s="140"/>
    </row>
    <row r="226" spans="1:60" ht="15.75" customHeight="1">
      <c r="A226" s="139"/>
      <c r="M226" s="140"/>
      <c r="S226" s="140"/>
      <c r="AT226" s="141"/>
      <c r="AW226" s="140"/>
      <c r="AX226" s="140"/>
      <c r="BH226" s="140"/>
    </row>
    <row r="227" spans="1:60" ht="15.75" customHeight="1">
      <c r="A227" s="139"/>
      <c r="M227" s="140"/>
      <c r="S227" s="140"/>
      <c r="AT227" s="141"/>
      <c r="AW227" s="140"/>
      <c r="AX227" s="140"/>
      <c r="BH227" s="140"/>
    </row>
    <row r="228" spans="1:60" ht="15.75" customHeight="1">
      <c r="A228" s="139"/>
      <c r="M228" s="140"/>
      <c r="S228" s="140"/>
      <c r="AT228" s="141"/>
      <c r="AW228" s="140"/>
      <c r="AX228" s="140"/>
      <c r="BH228" s="140"/>
    </row>
    <row r="229" spans="1:60" ht="15.75" customHeight="1">
      <c r="A229" s="139"/>
      <c r="M229" s="140"/>
      <c r="S229" s="140"/>
      <c r="AT229" s="141"/>
      <c r="AW229" s="140"/>
      <c r="AX229" s="140"/>
      <c r="BH229" s="140"/>
    </row>
    <row r="230" spans="1:60" ht="15.75" customHeight="1">
      <c r="A230" s="139"/>
      <c r="M230" s="140"/>
      <c r="S230" s="140"/>
      <c r="AT230" s="141"/>
      <c r="AW230" s="140"/>
      <c r="AX230" s="140"/>
      <c r="BH230" s="140"/>
    </row>
    <row r="231" spans="1:60" ht="15.75" customHeight="1">
      <c r="A231" s="139"/>
      <c r="M231" s="140"/>
      <c r="S231" s="140"/>
      <c r="AT231" s="141"/>
      <c r="AW231" s="140"/>
      <c r="AX231" s="140"/>
      <c r="BH231" s="140"/>
    </row>
    <row r="232" spans="1:60" ht="15.75" customHeight="1">
      <c r="A232" s="139"/>
      <c r="M232" s="140"/>
      <c r="S232" s="140"/>
      <c r="AT232" s="141"/>
      <c r="AW232" s="140"/>
      <c r="AX232" s="140"/>
      <c r="BH232" s="140"/>
    </row>
    <row r="233" spans="1:60" ht="15.75" customHeight="1">
      <c r="A233" s="139"/>
      <c r="M233" s="140"/>
      <c r="S233" s="140"/>
      <c r="AT233" s="141"/>
      <c r="AW233" s="140"/>
      <c r="AX233" s="140"/>
      <c r="BH233" s="140"/>
    </row>
    <row r="234" spans="1:60" ht="15.75" customHeight="1">
      <c r="A234" s="139"/>
      <c r="M234" s="140"/>
      <c r="S234" s="140"/>
      <c r="AT234" s="141"/>
      <c r="AW234" s="140"/>
      <c r="AX234" s="140"/>
      <c r="BH234" s="140"/>
    </row>
    <row r="235" spans="1:60" ht="15.75" customHeight="1">
      <c r="A235" s="139"/>
      <c r="M235" s="140"/>
      <c r="S235" s="140"/>
      <c r="AT235" s="141"/>
      <c r="AW235" s="140"/>
      <c r="AX235" s="140"/>
      <c r="BH235" s="140"/>
    </row>
    <row r="236" spans="1:60" ht="15.75" customHeight="1">
      <c r="A236" s="139"/>
      <c r="M236" s="140"/>
      <c r="S236" s="140"/>
      <c r="AT236" s="141"/>
      <c r="AW236" s="140"/>
      <c r="AX236" s="140"/>
      <c r="BH236" s="140"/>
    </row>
    <row r="237" spans="1:60" ht="15.75" customHeight="1">
      <c r="A237" s="139"/>
      <c r="M237" s="140"/>
      <c r="S237" s="140"/>
      <c r="AT237" s="141"/>
      <c r="AW237" s="140"/>
      <c r="AX237" s="140"/>
      <c r="BH237" s="140"/>
    </row>
    <row r="238" spans="1:60" ht="15.75" customHeight="1">
      <c r="A238" s="139"/>
      <c r="M238" s="140"/>
      <c r="S238" s="140"/>
      <c r="AT238" s="141"/>
      <c r="AW238" s="140"/>
      <c r="AX238" s="140"/>
      <c r="BH238" s="140"/>
    </row>
    <row r="239" spans="1:60" ht="15.75" customHeight="1">
      <c r="A239" s="139"/>
      <c r="M239" s="140"/>
      <c r="S239" s="140"/>
      <c r="AT239" s="141"/>
      <c r="AW239" s="140"/>
      <c r="AX239" s="140"/>
      <c r="BH239" s="140"/>
    </row>
    <row r="240" spans="1:60" ht="15.75" customHeight="1">
      <c r="A240" s="139"/>
      <c r="M240" s="140"/>
      <c r="S240" s="140"/>
      <c r="AT240" s="141"/>
      <c r="AW240" s="140"/>
      <c r="AX240" s="140"/>
      <c r="BH240" s="140"/>
    </row>
    <row r="241" spans="1:60" ht="15.75" customHeight="1">
      <c r="A241" s="139"/>
      <c r="M241" s="140"/>
      <c r="S241" s="140"/>
      <c r="AT241" s="141"/>
      <c r="AW241" s="140"/>
      <c r="AX241" s="140"/>
      <c r="BH241" s="140"/>
    </row>
    <row r="242" spans="1:60" ht="15.75" customHeight="1">
      <c r="A242" s="139"/>
      <c r="M242" s="140"/>
      <c r="S242" s="140"/>
      <c r="AT242" s="141"/>
      <c r="AW242" s="140"/>
      <c r="AX242" s="140"/>
      <c r="BH242" s="140"/>
    </row>
    <row r="243" spans="1:60" ht="15.75" customHeight="1">
      <c r="A243" s="139"/>
      <c r="M243" s="140"/>
      <c r="S243" s="140"/>
      <c r="AT243" s="141"/>
      <c r="AW243" s="140"/>
      <c r="AX243" s="140"/>
      <c r="BH243" s="140"/>
    </row>
    <row r="244" spans="1:60" ht="15.75" customHeight="1">
      <c r="A244" s="139"/>
      <c r="M244" s="140"/>
      <c r="S244" s="140"/>
      <c r="AT244" s="141"/>
      <c r="AW244" s="140"/>
      <c r="AX244" s="140"/>
      <c r="BH244" s="140"/>
    </row>
    <row r="245" spans="1:60" ht="15.75" customHeight="1">
      <c r="A245" s="139"/>
      <c r="M245" s="140"/>
      <c r="S245" s="140"/>
      <c r="AT245" s="141"/>
      <c r="AW245" s="140"/>
      <c r="AX245" s="140"/>
      <c r="BH245" s="140"/>
    </row>
    <row r="246" spans="1:60" ht="15.75" customHeight="1">
      <c r="A246" s="139"/>
      <c r="M246" s="140"/>
      <c r="S246" s="140"/>
      <c r="AT246" s="141"/>
      <c r="AW246" s="140"/>
      <c r="AX246" s="140"/>
      <c r="BH246" s="140"/>
    </row>
    <row r="247" spans="1:60" ht="15.75" customHeight="1">
      <c r="A247" s="139"/>
      <c r="M247" s="140"/>
      <c r="S247" s="140"/>
      <c r="AT247" s="141"/>
      <c r="AW247" s="140"/>
      <c r="AX247" s="140"/>
      <c r="BH247" s="140"/>
    </row>
    <row r="248" spans="1:60" ht="15.75" customHeight="1">
      <c r="A248" s="139"/>
      <c r="M248" s="140"/>
      <c r="S248" s="140"/>
      <c r="AT248" s="141"/>
      <c r="AW248" s="140"/>
      <c r="AX248" s="140"/>
      <c r="BH248" s="140"/>
    </row>
    <row r="249" spans="1:60" ht="15.75" customHeight="1">
      <c r="A249" s="139"/>
      <c r="M249" s="140"/>
      <c r="S249" s="140"/>
      <c r="AT249" s="141"/>
      <c r="AW249" s="140"/>
      <c r="AX249" s="140"/>
      <c r="BH249" s="140"/>
    </row>
    <row r="250" spans="1:60" ht="15.75" customHeight="1">
      <c r="A250" s="139"/>
      <c r="M250" s="140"/>
      <c r="S250" s="140"/>
      <c r="AT250" s="141"/>
      <c r="AW250" s="140"/>
      <c r="AX250" s="140"/>
      <c r="BH250" s="140"/>
    </row>
    <row r="251" spans="1:60" ht="15.75" customHeight="1">
      <c r="A251" s="139"/>
      <c r="M251" s="140"/>
      <c r="S251" s="140"/>
      <c r="AT251" s="141"/>
      <c r="AW251" s="140"/>
      <c r="AX251" s="140"/>
      <c r="BH251" s="140"/>
    </row>
    <row r="252" spans="1:60" ht="15.75" customHeight="1">
      <c r="A252" s="139"/>
      <c r="M252" s="140"/>
      <c r="S252" s="140"/>
      <c r="AT252" s="141"/>
      <c r="AW252" s="140"/>
      <c r="AX252" s="140"/>
      <c r="BH252" s="140"/>
    </row>
    <row r="253" spans="1:60" ht="15.75" customHeight="1">
      <c r="A253" s="139"/>
      <c r="M253" s="140"/>
      <c r="S253" s="140"/>
      <c r="AT253" s="141"/>
      <c r="AW253" s="140"/>
      <c r="AX253" s="140"/>
      <c r="BH253" s="140"/>
    </row>
    <row r="254" spans="1:60" ht="15.75" customHeight="1">
      <c r="A254" s="139"/>
      <c r="M254" s="140"/>
      <c r="S254" s="140"/>
      <c r="AT254" s="141"/>
      <c r="AW254" s="140"/>
      <c r="AX254" s="140"/>
      <c r="BH254" s="140"/>
    </row>
    <row r="255" spans="1:60" ht="15.75" customHeight="1">
      <c r="A255" s="139"/>
      <c r="M255" s="140"/>
      <c r="S255" s="140"/>
      <c r="AT255" s="141"/>
      <c r="AW255" s="140"/>
      <c r="AX255" s="140"/>
      <c r="BH255" s="140"/>
    </row>
    <row r="256" spans="1:60" ht="15.75" customHeight="1">
      <c r="A256" s="139"/>
      <c r="M256" s="140"/>
      <c r="S256" s="140"/>
      <c r="AT256" s="141"/>
      <c r="AW256" s="140"/>
      <c r="AX256" s="140"/>
      <c r="BH256" s="140"/>
    </row>
    <row r="257" spans="1:60" ht="15.75" customHeight="1">
      <c r="A257" s="139"/>
      <c r="M257" s="140"/>
      <c r="S257" s="140"/>
      <c r="AT257" s="141"/>
      <c r="AW257" s="140"/>
      <c r="AX257" s="140"/>
      <c r="BH257" s="140"/>
    </row>
    <row r="258" spans="1:60" ht="15.75" customHeight="1">
      <c r="A258" s="139"/>
      <c r="M258" s="140"/>
      <c r="S258" s="140"/>
      <c r="AT258" s="141"/>
      <c r="AW258" s="140"/>
      <c r="AX258" s="140"/>
      <c r="BH258" s="140"/>
    </row>
    <row r="259" spans="1:60" ht="15.75" customHeight="1">
      <c r="A259" s="139"/>
      <c r="M259" s="140"/>
      <c r="S259" s="140"/>
      <c r="AT259" s="141"/>
      <c r="AW259" s="140"/>
      <c r="AX259" s="140"/>
      <c r="BH259" s="140"/>
    </row>
    <row r="260" spans="1:60" ht="15.75" customHeight="1">
      <c r="A260" s="139"/>
      <c r="M260" s="140"/>
      <c r="S260" s="140"/>
      <c r="AT260" s="141"/>
      <c r="AW260" s="140"/>
      <c r="AX260" s="140"/>
      <c r="BH260" s="140"/>
    </row>
    <row r="261" spans="1:60" ht="15.75" customHeight="1">
      <c r="A261" s="139"/>
      <c r="M261" s="140"/>
      <c r="S261" s="140"/>
      <c r="AT261" s="141"/>
      <c r="AW261" s="140"/>
      <c r="AX261" s="140"/>
      <c r="BH261" s="140"/>
    </row>
    <row r="262" spans="1:60" ht="15.75" customHeight="1">
      <c r="A262" s="139"/>
      <c r="M262" s="140"/>
      <c r="S262" s="140"/>
      <c r="AT262" s="141"/>
      <c r="AW262" s="140"/>
      <c r="AX262" s="140"/>
      <c r="BH262" s="140"/>
    </row>
    <row r="263" spans="1:60" ht="15.75" customHeight="1">
      <c r="A263" s="139"/>
      <c r="M263" s="140"/>
      <c r="S263" s="140"/>
      <c r="AT263" s="141"/>
      <c r="AW263" s="140"/>
      <c r="AX263" s="140"/>
      <c r="BH263" s="140"/>
    </row>
    <row r="264" spans="1:60" ht="15.75" customHeight="1">
      <c r="A264" s="139"/>
      <c r="M264" s="140"/>
      <c r="S264" s="140"/>
      <c r="AT264" s="141"/>
      <c r="AW264" s="140"/>
      <c r="AX264" s="140"/>
      <c r="BH264" s="140"/>
    </row>
    <row r="265" spans="1:60" ht="15.75" customHeight="1">
      <c r="A265" s="139"/>
      <c r="M265" s="140"/>
      <c r="S265" s="140"/>
      <c r="AT265" s="141"/>
      <c r="AW265" s="140"/>
      <c r="AX265" s="140"/>
      <c r="BH265" s="140"/>
    </row>
    <row r="266" spans="1:60" ht="15.75" customHeight="1">
      <c r="A266" s="139"/>
      <c r="M266" s="140"/>
      <c r="S266" s="140"/>
      <c r="AT266" s="141"/>
      <c r="AW266" s="140"/>
      <c r="AX266" s="140"/>
      <c r="BH266" s="140"/>
    </row>
    <row r="267" spans="1:60" ht="15.75" customHeight="1">
      <c r="A267" s="139"/>
      <c r="M267" s="140"/>
      <c r="S267" s="140"/>
      <c r="AT267" s="141"/>
      <c r="AW267" s="140"/>
      <c r="AX267" s="140"/>
      <c r="BH267" s="140"/>
    </row>
    <row r="268" spans="1:60" ht="15.75" customHeight="1">
      <c r="A268" s="139"/>
      <c r="M268" s="140"/>
      <c r="S268" s="140"/>
      <c r="AT268" s="141"/>
      <c r="AW268" s="140"/>
      <c r="AX268" s="140"/>
      <c r="BH268" s="140"/>
    </row>
    <row r="269" spans="1:60" ht="15.75" customHeight="1">
      <c r="A269" s="139"/>
      <c r="M269" s="140"/>
      <c r="S269" s="140"/>
      <c r="AT269" s="141"/>
      <c r="AW269" s="140"/>
      <c r="AX269" s="140"/>
      <c r="BH269" s="140"/>
    </row>
    <row r="270" spans="1:60" ht="15.75" customHeight="1">
      <c r="A270" s="139"/>
      <c r="M270" s="140"/>
      <c r="S270" s="140"/>
      <c r="AT270" s="141"/>
      <c r="AW270" s="140"/>
      <c r="AX270" s="140"/>
      <c r="BH270" s="140"/>
    </row>
    <row r="271" spans="1:60" ht="15.75" customHeight="1">
      <c r="A271" s="139"/>
      <c r="M271" s="140"/>
      <c r="S271" s="140"/>
      <c r="AT271" s="141"/>
      <c r="AW271" s="140"/>
      <c r="AX271" s="140"/>
      <c r="BH271" s="140"/>
    </row>
    <row r="272" spans="1:60" ht="15.75" customHeight="1">
      <c r="A272" s="139"/>
      <c r="M272" s="140"/>
      <c r="S272" s="140"/>
      <c r="AT272" s="141"/>
      <c r="AW272" s="140"/>
      <c r="AX272" s="140"/>
      <c r="BH272" s="140"/>
    </row>
    <row r="273" spans="1:60" ht="15.75" customHeight="1">
      <c r="A273" s="139"/>
      <c r="M273" s="140"/>
      <c r="S273" s="140"/>
      <c r="AT273" s="141"/>
      <c r="AW273" s="140"/>
      <c r="AX273" s="140"/>
      <c r="BH273" s="140"/>
    </row>
    <row r="274" spans="1:60" ht="15.75" customHeight="1">
      <c r="A274" s="139"/>
      <c r="M274" s="140"/>
      <c r="S274" s="140"/>
      <c r="AT274" s="141"/>
      <c r="AW274" s="140"/>
      <c r="AX274" s="140"/>
      <c r="BH274" s="140"/>
    </row>
    <row r="275" spans="1:60" ht="15.75" customHeight="1">
      <c r="A275" s="139"/>
      <c r="M275" s="140"/>
      <c r="S275" s="140"/>
      <c r="AT275" s="141"/>
      <c r="AW275" s="140"/>
      <c r="AX275" s="140"/>
      <c r="BH275" s="140"/>
    </row>
    <row r="276" spans="1:60" ht="15.75" customHeight="1">
      <c r="A276" s="139"/>
      <c r="M276" s="140"/>
      <c r="S276" s="140"/>
      <c r="AT276" s="141"/>
      <c r="AW276" s="140"/>
      <c r="AX276" s="140"/>
      <c r="BH276" s="140"/>
    </row>
    <row r="277" spans="1:60" ht="15.75" customHeight="1">
      <c r="A277" s="139"/>
      <c r="M277" s="140"/>
      <c r="S277" s="140"/>
      <c r="AT277" s="141"/>
      <c r="AW277" s="140"/>
      <c r="AX277" s="140"/>
      <c r="BH277" s="140"/>
    </row>
    <row r="278" spans="1:60" ht="15.75" customHeight="1">
      <c r="A278" s="139"/>
      <c r="M278" s="140"/>
      <c r="S278" s="140"/>
      <c r="AT278" s="141"/>
      <c r="AW278" s="140"/>
      <c r="AX278" s="140"/>
      <c r="BH278" s="140"/>
    </row>
    <row r="279" spans="1:60" ht="15.75" customHeight="1">
      <c r="A279" s="139"/>
      <c r="M279" s="140"/>
      <c r="S279" s="140"/>
      <c r="AT279" s="141"/>
      <c r="AW279" s="140"/>
      <c r="AX279" s="140"/>
      <c r="BH279" s="140"/>
    </row>
    <row r="280" spans="1:60" ht="15.75" customHeight="1">
      <c r="A280" s="139"/>
      <c r="M280" s="140"/>
      <c r="S280" s="140"/>
      <c r="AT280" s="141"/>
      <c r="AW280" s="140"/>
      <c r="AX280" s="140"/>
      <c r="BH280" s="140"/>
    </row>
    <row r="281" spans="1:60" ht="15.75" customHeight="1">
      <c r="A281" s="139"/>
      <c r="M281" s="140"/>
      <c r="S281" s="140"/>
      <c r="AT281" s="141"/>
      <c r="AW281" s="140"/>
      <c r="AX281" s="140"/>
      <c r="BH281" s="140"/>
    </row>
    <row r="282" spans="1:60" ht="15.75" customHeight="1">
      <c r="A282" s="139"/>
      <c r="M282" s="140"/>
      <c r="S282" s="140"/>
      <c r="AT282" s="141"/>
      <c r="AW282" s="140"/>
      <c r="AX282" s="140"/>
      <c r="BH282" s="140"/>
    </row>
    <row r="283" spans="1:60" ht="15.75" customHeight="1">
      <c r="A283" s="139"/>
      <c r="M283" s="140"/>
      <c r="S283" s="140"/>
      <c r="AT283" s="141"/>
      <c r="AW283" s="140"/>
      <c r="AX283" s="140"/>
      <c r="BH283" s="140"/>
    </row>
    <row r="284" spans="1:60" ht="15.75" customHeight="1">
      <c r="A284" s="139"/>
      <c r="M284" s="140"/>
      <c r="S284" s="140"/>
      <c r="AT284" s="141"/>
      <c r="AW284" s="140"/>
      <c r="AX284" s="140"/>
      <c r="BH284" s="140"/>
    </row>
    <row r="285" spans="1:60" ht="15.75" customHeight="1">
      <c r="A285" s="139"/>
      <c r="M285" s="140"/>
      <c r="S285" s="140"/>
      <c r="AT285" s="141"/>
      <c r="AW285" s="140"/>
      <c r="AX285" s="140"/>
      <c r="BH285" s="140"/>
    </row>
    <row r="286" spans="1:60" ht="15.75" customHeight="1">
      <c r="A286" s="139"/>
      <c r="M286" s="140"/>
      <c r="S286" s="140"/>
      <c r="AT286" s="141"/>
      <c r="AW286" s="140"/>
      <c r="AX286" s="140"/>
      <c r="BH286" s="140"/>
    </row>
    <row r="287" spans="1:60" ht="15.75" customHeight="1">
      <c r="A287" s="139"/>
      <c r="M287" s="140"/>
      <c r="S287" s="140"/>
      <c r="AT287" s="141"/>
      <c r="AW287" s="140"/>
      <c r="AX287" s="140"/>
      <c r="BH287" s="140"/>
    </row>
    <row r="288" spans="1:60" ht="15.75" customHeight="1">
      <c r="A288" s="139"/>
      <c r="M288" s="140"/>
      <c r="S288" s="140"/>
      <c r="AT288" s="141"/>
      <c r="AW288" s="140"/>
      <c r="AX288" s="140"/>
      <c r="BH288" s="140"/>
    </row>
    <row r="289" spans="1:60" ht="15.75" customHeight="1">
      <c r="A289" s="139"/>
      <c r="M289" s="140"/>
      <c r="S289" s="140"/>
      <c r="AT289" s="141"/>
      <c r="AW289" s="140"/>
      <c r="AX289" s="140"/>
      <c r="BH289" s="140"/>
    </row>
    <row r="290" spans="1:60" ht="15.75" customHeight="1">
      <c r="A290" s="139"/>
      <c r="M290" s="140"/>
      <c r="S290" s="140"/>
      <c r="AT290" s="141"/>
      <c r="AW290" s="140"/>
      <c r="AX290" s="140"/>
      <c r="BH290" s="140"/>
    </row>
    <row r="291" spans="1:60" ht="15.75" customHeight="1">
      <c r="A291" s="139"/>
      <c r="M291" s="140"/>
      <c r="S291" s="140"/>
      <c r="AT291" s="141"/>
      <c r="AW291" s="140"/>
      <c r="AX291" s="140"/>
      <c r="BH291" s="140"/>
    </row>
    <row r="292" spans="1:60" ht="15.75" customHeight="1">
      <c r="A292" s="139"/>
      <c r="M292" s="140"/>
      <c r="S292" s="140"/>
      <c r="AT292" s="141"/>
      <c r="AW292" s="140"/>
      <c r="AX292" s="140"/>
      <c r="BH292" s="140"/>
    </row>
    <row r="293" spans="1:60" ht="15.75" customHeight="1">
      <c r="A293" s="139"/>
      <c r="M293" s="140"/>
      <c r="S293" s="140"/>
      <c r="AT293" s="141"/>
      <c r="AW293" s="140"/>
      <c r="AX293" s="140"/>
      <c r="BH293" s="140"/>
    </row>
    <row r="294" spans="1:60" ht="15.75" customHeight="1">
      <c r="A294" s="139"/>
      <c r="M294" s="140"/>
      <c r="S294" s="140"/>
      <c r="AT294" s="141"/>
      <c r="AW294" s="140"/>
      <c r="AX294" s="140"/>
      <c r="BH294" s="140"/>
    </row>
    <row r="295" spans="1:60" ht="15.75" customHeight="1">
      <c r="A295" s="139"/>
      <c r="M295" s="140"/>
      <c r="S295" s="140"/>
      <c r="AT295" s="141"/>
      <c r="AW295" s="140"/>
      <c r="AX295" s="140"/>
      <c r="BH295" s="140"/>
    </row>
    <row r="296" spans="1:60" ht="15.75" customHeight="1">
      <c r="A296" s="139"/>
      <c r="M296" s="140"/>
      <c r="S296" s="140"/>
      <c r="AT296" s="141"/>
      <c r="AW296" s="140"/>
      <c r="AX296" s="140"/>
      <c r="BH296" s="140"/>
    </row>
    <row r="297" spans="1:60" ht="15.75" customHeight="1">
      <c r="A297" s="139"/>
      <c r="M297" s="140"/>
      <c r="S297" s="140"/>
      <c r="AT297" s="141"/>
      <c r="AW297" s="140"/>
      <c r="AX297" s="140"/>
      <c r="BH297" s="140"/>
    </row>
    <row r="298" spans="1:60" ht="15.75" customHeight="1">
      <c r="A298" s="139"/>
      <c r="M298" s="140"/>
      <c r="S298" s="140"/>
      <c r="AT298" s="141"/>
      <c r="AW298" s="140"/>
      <c r="AX298" s="140"/>
      <c r="BH298" s="140"/>
    </row>
    <row r="299" spans="1:60" ht="15.75" customHeight="1">
      <c r="A299" s="139"/>
      <c r="M299" s="140"/>
      <c r="S299" s="140"/>
      <c r="AT299" s="141"/>
      <c r="AW299" s="140"/>
      <c r="AX299" s="140"/>
      <c r="BH299" s="140"/>
    </row>
    <row r="300" spans="1:60" ht="15.75" customHeight="1">
      <c r="A300" s="139"/>
      <c r="M300" s="140"/>
      <c r="S300" s="140"/>
      <c r="AT300" s="141"/>
      <c r="AW300" s="140"/>
      <c r="AX300" s="140"/>
      <c r="BH300" s="140"/>
    </row>
    <row r="301" spans="1:60" ht="15.75" customHeight="1">
      <c r="A301" s="139"/>
      <c r="M301" s="140"/>
      <c r="S301" s="140"/>
      <c r="AT301" s="141"/>
      <c r="AW301" s="140"/>
      <c r="AX301" s="140"/>
      <c r="BH301" s="140"/>
    </row>
    <row r="302" spans="1:60" ht="15.75" customHeight="1">
      <c r="A302" s="139"/>
      <c r="M302" s="140"/>
      <c r="S302" s="140"/>
      <c r="AT302" s="141"/>
      <c r="AW302" s="140"/>
      <c r="AX302" s="140"/>
      <c r="BH302" s="140"/>
    </row>
    <row r="303" spans="1:60" ht="15.75" customHeight="1">
      <c r="A303" s="139"/>
      <c r="M303" s="140"/>
      <c r="S303" s="140"/>
      <c r="AT303" s="141"/>
      <c r="AW303" s="140"/>
      <c r="AX303" s="140"/>
      <c r="BH303" s="140"/>
    </row>
    <row r="304" spans="1:60" ht="15.75" customHeight="1">
      <c r="A304" s="139"/>
      <c r="M304" s="140"/>
      <c r="S304" s="140"/>
      <c r="AT304" s="141"/>
      <c r="AW304" s="140"/>
      <c r="AX304" s="140"/>
      <c r="BH304" s="140"/>
    </row>
    <row r="305" spans="1:60" ht="15.75" customHeight="1">
      <c r="A305" s="139"/>
      <c r="M305" s="140"/>
      <c r="S305" s="140"/>
      <c r="AT305" s="141"/>
      <c r="AW305" s="140"/>
      <c r="AX305" s="140"/>
      <c r="BH305" s="140"/>
    </row>
    <row r="306" spans="1:60" ht="15.75" customHeight="1">
      <c r="A306" s="139"/>
      <c r="M306" s="140"/>
      <c r="S306" s="140"/>
      <c r="AT306" s="141"/>
      <c r="AW306" s="140"/>
      <c r="AX306" s="140"/>
      <c r="BH306" s="140"/>
    </row>
    <row r="307" spans="1:60" ht="15.75" customHeight="1">
      <c r="A307" s="139"/>
      <c r="M307" s="140"/>
      <c r="S307" s="140"/>
      <c r="AT307" s="141"/>
      <c r="AW307" s="140"/>
      <c r="AX307" s="140"/>
      <c r="BH307" s="140"/>
    </row>
    <row r="308" spans="1:60" ht="15.75" customHeight="1">
      <c r="A308" s="139"/>
      <c r="M308" s="140"/>
      <c r="S308" s="140"/>
      <c r="AT308" s="141"/>
      <c r="AW308" s="140"/>
      <c r="AX308" s="140"/>
      <c r="BH308" s="140"/>
    </row>
    <row r="309" spans="1:60" ht="15.75" customHeight="1">
      <c r="A309" s="139"/>
      <c r="M309" s="140"/>
      <c r="S309" s="140"/>
      <c r="AT309" s="141"/>
      <c r="AW309" s="140"/>
      <c r="AX309" s="140"/>
      <c r="BH309" s="140"/>
    </row>
    <row r="310" spans="1:60" ht="15.75" customHeight="1">
      <c r="A310" s="139"/>
      <c r="M310" s="140"/>
      <c r="S310" s="140"/>
      <c r="AT310" s="141"/>
      <c r="AW310" s="140"/>
      <c r="AX310" s="140"/>
      <c r="BH310" s="140"/>
    </row>
    <row r="311" spans="1:60" ht="15.75" customHeight="1">
      <c r="A311" s="139"/>
      <c r="M311" s="140"/>
      <c r="S311" s="140"/>
      <c r="AT311" s="141"/>
      <c r="AW311" s="140"/>
      <c r="AX311" s="140"/>
      <c r="BH311" s="140"/>
    </row>
    <row r="312" spans="1:60" ht="15.75" customHeight="1">
      <c r="A312" s="139"/>
      <c r="M312" s="140"/>
      <c r="S312" s="140"/>
      <c r="AT312" s="141"/>
      <c r="AW312" s="140"/>
      <c r="AX312" s="140"/>
      <c r="BH312" s="140"/>
    </row>
    <row r="313" spans="1:60" ht="15.75" customHeight="1">
      <c r="A313" s="139"/>
      <c r="M313" s="140"/>
      <c r="S313" s="140"/>
      <c r="AT313" s="141"/>
      <c r="AW313" s="140"/>
      <c r="AX313" s="140"/>
      <c r="BH313" s="140"/>
    </row>
    <row r="314" spans="1:60" ht="15.75" customHeight="1">
      <c r="A314" s="139"/>
      <c r="M314" s="140"/>
      <c r="S314" s="140"/>
      <c r="AT314" s="141"/>
      <c r="AW314" s="140"/>
      <c r="AX314" s="140"/>
      <c r="BH314" s="140"/>
    </row>
    <row r="315" spans="1:60" ht="15.75" customHeight="1">
      <c r="A315" s="139"/>
      <c r="M315" s="140"/>
      <c r="S315" s="140"/>
      <c r="AT315" s="141"/>
      <c r="AW315" s="140"/>
      <c r="AX315" s="140"/>
      <c r="BH315" s="140"/>
    </row>
    <row r="316" spans="1:60" ht="15.75" customHeight="1">
      <c r="A316" s="139"/>
      <c r="M316" s="140"/>
      <c r="S316" s="140"/>
      <c r="AT316" s="141"/>
      <c r="AW316" s="140"/>
      <c r="AX316" s="140"/>
      <c r="BH316" s="140"/>
    </row>
    <row r="317" spans="1:60" ht="15.75" customHeight="1">
      <c r="A317" s="139"/>
      <c r="M317" s="140"/>
      <c r="S317" s="140"/>
      <c r="AT317" s="141"/>
      <c r="AW317" s="140"/>
      <c r="AX317" s="140"/>
      <c r="BH317" s="140"/>
    </row>
    <row r="318" spans="1:60" ht="15.75" customHeight="1">
      <c r="A318" s="139"/>
      <c r="M318" s="140"/>
      <c r="S318" s="140"/>
      <c r="AT318" s="141"/>
      <c r="AW318" s="140"/>
      <c r="AX318" s="140"/>
      <c r="BH318" s="140"/>
    </row>
    <row r="319" spans="1:60" ht="15.75" customHeight="1">
      <c r="A319" s="139"/>
      <c r="M319" s="140"/>
      <c r="S319" s="140"/>
      <c r="AT319" s="141"/>
      <c r="AW319" s="140"/>
      <c r="AX319" s="140"/>
      <c r="BH319" s="140"/>
    </row>
    <row r="320" spans="1:60" ht="15.75" customHeight="1">
      <c r="A320" s="139"/>
      <c r="M320" s="140"/>
      <c r="S320" s="140"/>
      <c r="AT320" s="141"/>
      <c r="AW320" s="140"/>
      <c r="AX320" s="140"/>
      <c r="BH320" s="140"/>
    </row>
    <row r="321" spans="1:60" ht="15.75" customHeight="1">
      <c r="A321" s="139"/>
      <c r="M321" s="140"/>
      <c r="S321" s="140"/>
      <c r="AT321" s="141"/>
      <c r="AW321" s="140"/>
      <c r="AX321" s="140"/>
      <c r="BH321" s="140"/>
    </row>
    <row r="322" spans="1:60" ht="15.75" customHeight="1">
      <c r="A322" s="139"/>
      <c r="M322" s="140"/>
      <c r="S322" s="140"/>
      <c r="AT322" s="141"/>
      <c r="AW322" s="140"/>
      <c r="AX322" s="140"/>
      <c r="BH322" s="140"/>
    </row>
    <row r="323" spans="1:60" ht="15.75" customHeight="1">
      <c r="A323" s="139"/>
      <c r="M323" s="140"/>
      <c r="S323" s="140"/>
      <c r="AT323" s="141"/>
      <c r="AW323" s="140"/>
      <c r="AX323" s="140"/>
      <c r="BH323" s="140"/>
    </row>
    <row r="324" spans="1:60" ht="15.75" customHeight="1">
      <c r="A324" s="139"/>
      <c r="M324" s="140"/>
      <c r="S324" s="140"/>
      <c r="AT324" s="141"/>
      <c r="AW324" s="140"/>
      <c r="AX324" s="140"/>
      <c r="BH324" s="140"/>
    </row>
    <row r="325" spans="1:60" ht="15.75" customHeight="1">
      <c r="A325" s="139"/>
      <c r="M325" s="140"/>
      <c r="S325" s="140"/>
      <c r="AT325" s="141"/>
      <c r="AW325" s="140"/>
      <c r="AX325" s="140"/>
      <c r="BH325" s="140"/>
    </row>
    <row r="326" spans="1:60" ht="15.75" customHeight="1">
      <c r="A326" s="139"/>
      <c r="M326" s="140"/>
      <c r="S326" s="140"/>
      <c r="AT326" s="141"/>
      <c r="AW326" s="140"/>
      <c r="AX326" s="140"/>
      <c r="BH326" s="140"/>
    </row>
    <row r="327" spans="1:60" ht="15.75" customHeight="1">
      <c r="A327" s="139"/>
      <c r="M327" s="140"/>
      <c r="S327" s="140"/>
      <c r="AT327" s="141"/>
      <c r="AW327" s="140"/>
      <c r="AX327" s="140"/>
      <c r="BH327" s="140"/>
    </row>
    <row r="328" spans="1:60" ht="15.75" customHeight="1">
      <c r="A328" s="139"/>
      <c r="M328" s="140"/>
      <c r="S328" s="140"/>
      <c r="AT328" s="141"/>
      <c r="AW328" s="140"/>
      <c r="AX328" s="140"/>
      <c r="BH328" s="140"/>
    </row>
    <row r="329" spans="1:60" ht="15.75" customHeight="1">
      <c r="A329" s="139"/>
      <c r="M329" s="140"/>
      <c r="S329" s="140"/>
      <c r="AT329" s="141"/>
      <c r="AW329" s="140"/>
      <c r="AX329" s="140"/>
      <c r="BH329" s="140"/>
    </row>
    <row r="330" spans="1:60" ht="15.75" customHeight="1">
      <c r="A330" s="139"/>
      <c r="M330" s="140"/>
      <c r="S330" s="140"/>
      <c r="AT330" s="141"/>
      <c r="AW330" s="140"/>
      <c r="AX330" s="140"/>
      <c r="BH330" s="140"/>
    </row>
    <row r="331" spans="1:60" ht="15.75" customHeight="1">
      <c r="A331" s="139"/>
      <c r="M331" s="140"/>
      <c r="S331" s="140"/>
      <c r="AT331" s="141"/>
      <c r="AW331" s="140"/>
      <c r="AX331" s="140"/>
      <c r="BH331" s="140"/>
    </row>
    <row r="332" spans="1:60" ht="15.75" customHeight="1">
      <c r="A332" s="139"/>
      <c r="M332" s="140"/>
      <c r="S332" s="140"/>
      <c r="AT332" s="141"/>
      <c r="AW332" s="140"/>
      <c r="AX332" s="140"/>
      <c r="BH332" s="140"/>
    </row>
    <row r="333" spans="1:60" ht="15.75" customHeight="1">
      <c r="A333" s="139"/>
      <c r="M333" s="140"/>
      <c r="S333" s="140"/>
      <c r="AT333" s="141"/>
      <c r="AW333" s="140"/>
      <c r="AX333" s="140"/>
      <c r="BH333" s="140"/>
    </row>
    <row r="334" spans="1:60" ht="15.75" customHeight="1">
      <c r="A334" s="139"/>
      <c r="M334" s="140"/>
      <c r="S334" s="140"/>
      <c r="AT334" s="141"/>
      <c r="AW334" s="140"/>
      <c r="AX334" s="140"/>
      <c r="BH334" s="140"/>
    </row>
    <row r="335" spans="1:60" ht="15.75" customHeight="1">
      <c r="A335" s="139"/>
      <c r="M335" s="140"/>
      <c r="S335" s="140"/>
      <c r="AT335" s="141"/>
      <c r="AW335" s="140"/>
      <c r="AX335" s="140"/>
      <c r="BH335" s="140"/>
    </row>
    <row r="336" spans="1:60" ht="15.75" customHeight="1">
      <c r="A336" s="139"/>
      <c r="M336" s="140"/>
      <c r="S336" s="140"/>
      <c r="AT336" s="141"/>
      <c r="AW336" s="140"/>
      <c r="AX336" s="140"/>
      <c r="BH336" s="140"/>
    </row>
    <row r="337" spans="1:60" ht="15.75" customHeight="1">
      <c r="A337" s="139"/>
      <c r="M337" s="140"/>
      <c r="S337" s="140"/>
      <c r="AT337" s="141"/>
      <c r="AW337" s="140"/>
      <c r="AX337" s="140"/>
      <c r="BH337" s="140"/>
    </row>
    <row r="338" spans="1:60" ht="15.75" customHeight="1">
      <c r="A338" s="139"/>
      <c r="M338" s="140"/>
      <c r="S338" s="140"/>
      <c r="AT338" s="141"/>
      <c r="AW338" s="140"/>
      <c r="AX338" s="140"/>
      <c r="BH338" s="140"/>
    </row>
    <row r="339" spans="1:60" ht="15.75" customHeight="1">
      <c r="A339" s="139"/>
      <c r="M339" s="140"/>
      <c r="S339" s="140"/>
      <c r="AT339" s="141"/>
      <c r="AW339" s="140"/>
      <c r="AX339" s="140"/>
      <c r="BH339" s="140"/>
    </row>
    <row r="340" spans="1:60" ht="15.75" customHeight="1">
      <c r="A340" s="139"/>
      <c r="M340" s="140"/>
      <c r="S340" s="140"/>
      <c r="AT340" s="141"/>
      <c r="AW340" s="140"/>
      <c r="AX340" s="140"/>
      <c r="BH340" s="140"/>
    </row>
    <row r="341" spans="1:60" ht="15.75" customHeight="1">
      <c r="A341" s="139"/>
      <c r="M341" s="140"/>
      <c r="S341" s="140"/>
      <c r="AT341" s="141"/>
      <c r="AW341" s="140"/>
      <c r="AX341" s="140"/>
      <c r="BH341" s="140"/>
    </row>
    <row r="342" spans="1:60" ht="15.75" customHeight="1">
      <c r="A342" s="139"/>
      <c r="M342" s="140"/>
      <c r="S342" s="140"/>
      <c r="AT342" s="141"/>
      <c r="AW342" s="140"/>
      <c r="AX342" s="140"/>
      <c r="BH342" s="140"/>
    </row>
    <row r="343" spans="1:60" ht="15.75" customHeight="1">
      <c r="A343" s="139"/>
      <c r="M343" s="140"/>
      <c r="S343" s="140"/>
      <c r="AT343" s="141"/>
      <c r="AW343" s="140"/>
      <c r="AX343" s="140"/>
      <c r="BH343" s="140"/>
    </row>
    <row r="344" spans="1:60" ht="15.75" customHeight="1">
      <c r="A344" s="139"/>
      <c r="M344" s="140"/>
      <c r="S344" s="140"/>
      <c r="AT344" s="141"/>
      <c r="AW344" s="140"/>
      <c r="AX344" s="140"/>
      <c r="BH344" s="140"/>
    </row>
    <row r="345" spans="1:60" ht="15.75" customHeight="1">
      <c r="A345" s="139"/>
      <c r="M345" s="140"/>
      <c r="S345" s="140"/>
      <c r="AT345" s="141"/>
      <c r="AW345" s="140"/>
      <c r="AX345" s="140"/>
      <c r="BH345" s="140"/>
    </row>
    <row r="346" spans="1:60" ht="15.75" customHeight="1">
      <c r="A346" s="139"/>
      <c r="M346" s="140"/>
      <c r="S346" s="140"/>
      <c r="AT346" s="141"/>
      <c r="AW346" s="140"/>
      <c r="AX346" s="140"/>
      <c r="BH346" s="140"/>
    </row>
    <row r="347" spans="1:60" ht="15.75" customHeight="1">
      <c r="A347" s="139"/>
      <c r="M347" s="140"/>
      <c r="S347" s="140"/>
      <c r="AT347" s="141"/>
      <c r="AW347" s="140"/>
      <c r="AX347" s="140"/>
      <c r="BH347" s="140"/>
    </row>
    <row r="348" spans="1:60" ht="15.75" customHeight="1">
      <c r="A348" s="139"/>
      <c r="M348" s="140"/>
      <c r="S348" s="140"/>
      <c r="AT348" s="141"/>
      <c r="AW348" s="140"/>
      <c r="AX348" s="140"/>
      <c r="BH348" s="140"/>
    </row>
    <row r="349" spans="1:60" ht="15.75" customHeight="1">
      <c r="A349" s="139"/>
      <c r="M349" s="140"/>
      <c r="S349" s="140"/>
      <c r="AT349" s="141"/>
      <c r="AW349" s="140"/>
      <c r="AX349" s="140"/>
      <c r="BH349" s="140"/>
    </row>
    <row r="350" spans="1:60" ht="15.75" customHeight="1">
      <c r="A350" s="139"/>
      <c r="M350" s="140"/>
      <c r="S350" s="140"/>
      <c r="AT350" s="141"/>
      <c r="AW350" s="140"/>
      <c r="AX350" s="140"/>
      <c r="BH350" s="140"/>
    </row>
    <row r="351" spans="1:60" ht="15.75" customHeight="1">
      <c r="A351" s="139"/>
      <c r="M351" s="140"/>
      <c r="S351" s="140"/>
      <c r="AT351" s="141"/>
      <c r="AW351" s="140"/>
      <c r="AX351" s="140"/>
      <c r="BH351" s="140"/>
    </row>
    <row r="352" spans="1:60" ht="15.75" customHeight="1">
      <c r="A352" s="139"/>
      <c r="M352" s="140"/>
      <c r="S352" s="140"/>
      <c r="AT352" s="141"/>
      <c r="AW352" s="140"/>
      <c r="AX352" s="140"/>
      <c r="BH352" s="140"/>
    </row>
    <row r="353" spans="1:60" ht="15.75" customHeight="1">
      <c r="A353" s="139"/>
      <c r="M353" s="140"/>
      <c r="S353" s="140"/>
      <c r="AT353" s="141"/>
      <c r="AW353" s="140"/>
      <c r="AX353" s="140"/>
      <c r="BH353" s="140"/>
    </row>
    <row r="354" spans="1:60" ht="15.75" customHeight="1">
      <c r="A354" s="139"/>
      <c r="M354" s="140"/>
      <c r="S354" s="140"/>
      <c r="AT354" s="141"/>
      <c r="AW354" s="140"/>
      <c r="AX354" s="140"/>
      <c r="BH354" s="140"/>
    </row>
    <row r="355" spans="1:60" ht="15.75" customHeight="1">
      <c r="A355" s="139"/>
      <c r="M355" s="140"/>
      <c r="S355" s="140"/>
      <c r="AT355" s="141"/>
      <c r="AW355" s="140"/>
      <c r="AX355" s="140"/>
      <c r="BH355" s="140"/>
    </row>
    <row r="356" spans="1:60" ht="15.75" customHeight="1">
      <c r="A356" s="139"/>
      <c r="M356" s="140"/>
      <c r="S356" s="140"/>
      <c r="AT356" s="141"/>
      <c r="AW356" s="140"/>
      <c r="AX356" s="140"/>
      <c r="BH356" s="140"/>
    </row>
    <row r="357" spans="1:60" ht="15.75" customHeight="1">
      <c r="A357" s="139"/>
      <c r="M357" s="140"/>
      <c r="S357" s="140"/>
      <c r="AT357" s="141"/>
      <c r="AW357" s="140"/>
      <c r="AX357" s="140"/>
      <c r="BH357" s="140"/>
    </row>
    <row r="358" spans="1:60" ht="15.75" customHeight="1">
      <c r="A358" s="139"/>
      <c r="M358" s="140"/>
      <c r="S358" s="140"/>
      <c r="AT358" s="141"/>
      <c r="AW358" s="140"/>
      <c r="AX358" s="140"/>
      <c r="BH358" s="140"/>
    </row>
    <row r="359" spans="1:60" ht="15.75" customHeight="1">
      <c r="A359" s="139"/>
      <c r="M359" s="140"/>
      <c r="S359" s="140"/>
      <c r="AT359" s="141"/>
      <c r="AW359" s="140"/>
      <c r="AX359" s="140"/>
      <c r="BH359" s="140"/>
    </row>
    <row r="360" spans="1:60" ht="15.75" customHeight="1">
      <c r="A360" s="139"/>
      <c r="M360" s="140"/>
      <c r="S360" s="140"/>
      <c r="AT360" s="141"/>
      <c r="AW360" s="140"/>
      <c r="AX360" s="140"/>
      <c r="BH360" s="140"/>
    </row>
    <row r="361" spans="1:60" ht="15.75" customHeight="1">
      <c r="A361" s="139"/>
      <c r="M361" s="140"/>
      <c r="S361" s="140"/>
      <c r="AT361" s="141"/>
      <c r="AW361" s="140"/>
      <c r="AX361" s="140"/>
      <c r="BH361" s="140"/>
    </row>
    <row r="362" spans="1:60" ht="15.75" customHeight="1">
      <c r="A362" s="139"/>
      <c r="M362" s="140"/>
      <c r="S362" s="140"/>
      <c r="AT362" s="141"/>
      <c r="AW362" s="140"/>
      <c r="AX362" s="140"/>
      <c r="BH362" s="140"/>
    </row>
    <row r="363" spans="1:60" ht="15.75" customHeight="1">
      <c r="A363" s="139"/>
      <c r="M363" s="140"/>
      <c r="S363" s="140"/>
      <c r="AT363" s="141"/>
      <c r="AW363" s="140"/>
      <c r="AX363" s="140"/>
      <c r="BH363" s="140"/>
    </row>
    <row r="364" spans="1:60" ht="15.75" customHeight="1">
      <c r="A364" s="139"/>
      <c r="M364" s="140"/>
      <c r="S364" s="140"/>
      <c r="AT364" s="141"/>
      <c r="AW364" s="140"/>
      <c r="AX364" s="140"/>
      <c r="BH364" s="140"/>
    </row>
    <row r="365" spans="1:60" ht="15.75" customHeight="1">
      <c r="A365" s="139"/>
      <c r="M365" s="140"/>
      <c r="S365" s="140"/>
      <c r="AT365" s="141"/>
      <c r="AW365" s="140"/>
      <c r="AX365" s="140"/>
      <c r="BH365" s="140"/>
    </row>
    <row r="366" spans="1:60" ht="15.75" customHeight="1">
      <c r="A366" s="139"/>
      <c r="M366" s="140"/>
      <c r="S366" s="140"/>
      <c r="AT366" s="141"/>
      <c r="AW366" s="140"/>
      <c r="AX366" s="140"/>
      <c r="BH366" s="140"/>
    </row>
    <row r="367" spans="1:60" ht="15.75" customHeight="1">
      <c r="A367" s="139"/>
      <c r="M367" s="140"/>
      <c r="S367" s="140"/>
      <c r="AT367" s="141"/>
      <c r="AW367" s="140"/>
      <c r="AX367" s="140"/>
      <c r="BH367" s="140"/>
    </row>
    <row r="368" spans="1:60" ht="15.75" customHeight="1">
      <c r="A368" s="139"/>
      <c r="M368" s="140"/>
      <c r="S368" s="140"/>
      <c r="AT368" s="141"/>
      <c r="AW368" s="140"/>
      <c r="AX368" s="140"/>
      <c r="BH368" s="140"/>
    </row>
    <row r="369" spans="1:60" ht="15.75" customHeight="1">
      <c r="A369" s="139"/>
      <c r="M369" s="140"/>
      <c r="S369" s="140"/>
      <c r="AT369" s="141"/>
      <c r="AW369" s="140"/>
      <c r="AX369" s="140"/>
      <c r="BH369" s="140"/>
    </row>
    <row r="370" spans="1:60" ht="15.75" customHeight="1">
      <c r="A370" s="139"/>
      <c r="M370" s="140"/>
      <c r="S370" s="140"/>
      <c r="AT370" s="141"/>
      <c r="AW370" s="140"/>
      <c r="AX370" s="140"/>
      <c r="BH370" s="140"/>
    </row>
    <row r="371" spans="1:60" ht="15.75" customHeight="1">
      <c r="A371" s="139"/>
      <c r="M371" s="140"/>
      <c r="S371" s="140"/>
      <c r="AT371" s="141"/>
      <c r="AW371" s="140"/>
      <c r="AX371" s="140"/>
      <c r="BH371" s="140"/>
    </row>
    <row r="372" spans="1:60" ht="15.75" customHeight="1">
      <c r="A372" s="139"/>
      <c r="M372" s="140"/>
      <c r="S372" s="140"/>
      <c r="AT372" s="141"/>
      <c r="AW372" s="140"/>
      <c r="AX372" s="140"/>
      <c r="BH372" s="140"/>
    </row>
    <row r="373" spans="1:60" ht="15.75" customHeight="1">
      <c r="A373" s="139"/>
      <c r="M373" s="140"/>
      <c r="S373" s="140"/>
      <c r="AT373" s="141"/>
      <c r="AW373" s="140"/>
      <c r="AX373" s="140"/>
      <c r="BH373" s="140"/>
    </row>
    <row r="374" spans="1:60" ht="15.75" customHeight="1">
      <c r="A374" s="139"/>
      <c r="M374" s="140"/>
      <c r="S374" s="140"/>
      <c r="AT374" s="141"/>
      <c r="AW374" s="140"/>
      <c r="AX374" s="140"/>
      <c r="BH374" s="140"/>
    </row>
    <row r="375" spans="1:60" ht="15.75" customHeight="1">
      <c r="A375" s="139"/>
      <c r="M375" s="140"/>
      <c r="S375" s="140"/>
      <c r="AT375" s="141"/>
      <c r="AW375" s="140"/>
      <c r="AX375" s="140"/>
      <c r="BH375" s="140"/>
    </row>
    <row r="376" spans="1:60" ht="15.75" customHeight="1">
      <c r="A376" s="139"/>
      <c r="M376" s="140"/>
      <c r="S376" s="140"/>
      <c r="AT376" s="141"/>
      <c r="AW376" s="140"/>
      <c r="AX376" s="140"/>
      <c r="BH376" s="140"/>
    </row>
    <row r="377" spans="1:60" ht="15.75" customHeight="1">
      <c r="A377" s="139"/>
      <c r="M377" s="140"/>
      <c r="S377" s="140"/>
      <c r="AT377" s="141"/>
      <c r="AW377" s="140"/>
      <c r="AX377" s="140"/>
      <c r="BH377" s="140"/>
    </row>
    <row r="378" spans="1:60" ht="15.75" customHeight="1">
      <c r="A378" s="139"/>
      <c r="M378" s="140"/>
      <c r="S378" s="140"/>
      <c r="AT378" s="141"/>
      <c r="AW378" s="140"/>
      <c r="AX378" s="140"/>
      <c r="BH378" s="140"/>
    </row>
    <row r="379" spans="1:60" ht="15.75" customHeight="1">
      <c r="A379" s="139"/>
      <c r="M379" s="140"/>
      <c r="S379" s="140"/>
      <c r="AT379" s="141"/>
      <c r="AW379" s="140"/>
      <c r="AX379" s="140"/>
      <c r="BH379" s="140"/>
    </row>
    <row r="380" spans="1:60" ht="15.75" customHeight="1">
      <c r="A380" s="139"/>
      <c r="M380" s="140"/>
      <c r="S380" s="140"/>
      <c r="AT380" s="141"/>
      <c r="AW380" s="140"/>
      <c r="AX380" s="140"/>
      <c r="BH380" s="140"/>
    </row>
    <row r="381" spans="1:60" ht="15.75" customHeight="1">
      <c r="A381" s="139"/>
      <c r="M381" s="140"/>
      <c r="S381" s="140"/>
      <c r="AT381" s="141"/>
      <c r="AW381" s="140"/>
      <c r="AX381" s="140"/>
      <c r="BH381" s="140"/>
    </row>
    <row r="382" spans="1:60" ht="15.75" customHeight="1">
      <c r="A382" s="139"/>
      <c r="M382" s="140"/>
      <c r="S382" s="140"/>
      <c r="AT382" s="141"/>
      <c r="AW382" s="140"/>
      <c r="AX382" s="140"/>
      <c r="BH382" s="140"/>
    </row>
    <row r="383" spans="1:60" ht="15.75" customHeight="1">
      <c r="A383" s="139"/>
      <c r="M383" s="140"/>
      <c r="S383" s="140"/>
      <c r="AT383" s="141"/>
      <c r="AW383" s="140"/>
      <c r="AX383" s="140"/>
      <c r="BH383" s="140"/>
    </row>
    <row r="384" spans="1:60" ht="15.75" customHeight="1">
      <c r="A384" s="139"/>
      <c r="M384" s="140"/>
      <c r="S384" s="140"/>
      <c r="AT384" s="141"/>
      <c r="AW384" s="140"/>
      <c r="AX384" s="140"/>
      <c r="BH384" s="140"/>
    </row>
    <row r="385" spans="1:60" ht="15.75" customHeight="1">
      <c r="A385" s="139"/>
      <c r="M385" s="140"/>
      <c r="S385" s="140"/>
      <c r="AT385" s="141"/>
      <c r="AW385" s="140"/>
      <c r="AX385" s="140"/>
      <c r="BH385" s="140"/>
    </row>
    <row r="386" spans="1:60" ht="15.75" customHeight="1">
      <c r="A386" s="139"/>
      <c r="M386" s="140"/>
      <c r="S386" s="140"/>
      <c r="AT386" s="141"/>
      <c r="AW386" s="140"/>
      <c r="AX386" s="140"/>
      <c r="BH386" s="140"/>
    </row>
    <row r="387" spans="1:60" ht="15.75" customHeight="1">
      <c r="A387" s="139"/>
      <c r="M387" s="140"/>
      <c r="S387" s="140"/>
      <c r="AT387" s="141"/>
      <c r="AW387" s="140"/>
      <c r="AX387" s="140"/>
      <c r="BH387" s="140"/>
    </row>
    <row r="388" spans="1:60" ht="15.75" customHeight="1">
      <c r="A388" s="139"/>
      <c r="M388" s="140"/>
      <c r="S388" s="140"/>
      <c r="AT388" s="141"/>
      <c r="AW388" s="140"/>
      <c r="AX388" s="140"/>
      <c r="BH388" s="140"/>
    </row>
    <row r="389" spans="1:60" ht="15.75" customHeight="1">
      <c r="A389" s="139"/>
      <c r="M389" s="140"/>
      <c r="S389" s="140"/>
      <c r="AT389" s="141"/>
      <c r="AW389" s="140"/>
      <c r="AX389" s="140"/>
      <c r="BH389" s="140"/>
    </row>
    <row r="390" spans="1:60" ht="15.75" customHeight="1">
      <c r="A390" s="139"/>
      <c r="M390" s="140"/>
      <c r="S390" s="140"/>
      <c r="AT390" s="141"/>
      <c r="AW390" s="140"/>
      <c r="AX390" s="140"/>
      <c r="BH390" s="140"/>
    </row>
    <row r="391" spans="1:60" ht="15.75" customHeight="1">
      <c r="A391" s="139"/>
      <c r="M391" s="140"/>
      <c r="S391" s="140"/>
      <c r="AT391" s="141"/>
      <c r="AW391" s="140"/>
      <c r="AX391" s="140"/>
      <c r="BH391" s="140"/>
    </row>
    <row r="392" spans="1:60" ht="15.75" customHeight="1">
      <c r="A392" s="139"/>
      <c r="M392" s="140"/>
      <c r="S392" s="140"/>
      <c r="AT392" s="141"/>
      <c r="AW392" s="140"/>
      <c r="AX392" s="140"/>
      <c r="BH392" s="140"/>
    </row>
    <row r="393" spans="1:60" ht="15.75" customHeight="1">
      <c r="A393" s="139"/>
      <c r="M393" s="140"/>
      <c r="S393" s="140"/>
      <c r="AT393" s="141"/>
      <c r="AW393" s="140"/>
      <c r="AX393" s="140"/>
      <c r="BH393" s="140"/>
    </row>
    <row r="394" spans="1:60" ht="15.75" customHeight="1">
      <c r="A394" s="139"/>
      <c r="M394" s="140"/>
      <c r="S394" s="140"/>
      <c r="AT394" s="141"/>
      <c r="AW394" s="140"/>
      <c r="AX394" s="140"/>
      <c r="BH394" s="140"/>
    </row>
    <row r="395" spans="1:60" ht="15.75" customHeight="1">
      <c r="A395" s="139"/>
      <c r="M395" s="140"/>
      <c r="S395" s="140"/>
      <c r="AT395" s="141"/>
      <c r="AW395" s="140"/>
      <c r="AX395" s="140"/>
      <c r="BH395" s="140"/>
    </row>
    <row r="396" spans="1:60" ht="15.75" customHeight="1">
      <c r="A396" s="139"/>
      <c r="M396" s="140"/>
      <c r="S396" s="140"/>
      <c r="AT396" s="141"/>
      <c r="AW396" s="140"/>
      <c r="AX396" s="140"/>
      <c r="BH396" s="140"/>
    </row>
    <row r="397" spans="1:60" ht="15.75" customHeight="1">
      <c r="A397" s="139"/>
      <c r="M397" s="140"/>
      <c r="S397" s="140"/>
      <c r="AT397" s="141"/>
      <c r="AW397" s="140"/>
      <c r="AX397" s="140"/>
      <c r="BH397" s="140"/>
    </row>
    <row r="398" spans="1:60" ht="15.75" customHeight="1">
      <c r="A398" s="139"/>
      <c r="M398" s="140"/>
      <c r="S398" s="140"/>
      <c r="AT398" s="141"/>
      <c r="AW398" s="140"/>
      <c r="AX398" s="140"/>
      <c r="BH398" s="140"/>
    </row>
    <row r="399" spans="1:60" ht="15.75" customHeight="1">
      <c r="A399" s="139"/>
      <c r="M399" s="140"/>
      <c r="S399" s="140"/>
      <c r="AT399" s="141"/>
      <c r="AW399" s="140"/>
      <c r="AX399" s="140"/>
      <c r="BH399" s="140"/>
    </row>
    <row r="400" spans="1:60" ht="15.75" customHeight="1">
      <c r="A400" s="139"/>
      <c r="M400" s="140"/>
      <c r="S400" s="140"/>
      <c r="AT400" s="141"/>
      <c r="AW400" s="140"/>
      <c r="AX400" s="140"/>
      <c r="BH400" s="140"/>
    </row>
    <row r="401" spans="1:60" ht="15.75" customHeight="1">
      <c r="A401" s="139"/>
      <c r="M401" s="140"/>
      <c r="S401" s="140"/>
      <c r="AT401" s="141"/>
      <c r="AW401" s="140"/>
      <c r="AX401" s="140"/>
      <c r="BH401" s="140"/>
    </row>
    <row r="402" spans="1:60" ht="15.75" customHeight="1">
      <c r="A402" s="139"/>
      <c r="M402" s="140"/>
      <c r="S402" s="140"/>
      <c r="AT402" s="141"/>
      <c r="AW402" s="140"/>
      <c r="AX402" s="140"/>
      <c r="BH402" s="140"/>
    </row>
    <row r="403" spans="1:60" ht="15.75" customHeight="1">
      <c r="A403" s="139"/>
      <c r="M403" s="140"/>
      <c r="S403" s="140"/>
      <c r="AT403" s="141"/>
      <c r="AW403" s="140"/>
      <c r="AX403" s="140"/>
      <c r="BH403" s="140"/>
    </row>
    <row r="404" spans="1:60" ht="15.75" customHeight="1">
      <c r="A404" s="139"/>
      <c r="M404" s="140"/>
      <c r="S404" s="140"/>
      <c r="AT404" s="141"/>
      <c r="AW404" s="140"/>
      <c r="AX404" s="140"/>
      <c r="BH404" s="140"/>
    </row>
    <row r="405" spans="1:60" ht="15.75" customHeight="1">
      <c r="A405" s="139"/>
      <c r="M405" s="140"/>
      <c r="S405" s="140"/>
      <c r="AT405" s="141"/>
      <c r="AW405" s="140"/>
      <c r="AX405" s="140"/>
      <c r="BH405" s="140"/>
    </row>
    <row r="406" spans="1:60" ht="15.75" customHeight="1">
      <c r="A406" s="139"/>
      <c r="M406" s="140"/>
      <c r="S406" s="140"/>
      <c r="AT406" s="141"/>
      <c r="AW406" s="140"/>
      <c r="AX406" s="140"/>
      <c r="BH406" s="140"/>
    </row>
  </sheetData>
  <autoFilter ref="A2:CC146" xr:uid="{00000000-0009-0000-0000-000000000000}"/>
  <mergeCells count="14">
    <mergeCell ref="BT2:BV2"/>
    <mergeCell ref="BW2:CC2"/>
    <mergeCell ref="AK2:AM2"/>
    <mergeCell ref="AN2:AP2"/>
    <mergeCell ref="AY2:BC2"/>
    <mergeCell ref="BD2:BH2"/>
    <mergeCell ref="BI2:BN2"/>
    <mergeCell ref="BO2:BS2"/>
    <mergeCell ref="AH2:AJ2"/>
    <mergeCell ref="O2:S2"/>
    <mergeCell ref="T2:X2"/>
    <mergeCell ref="Y2:AA2"/>
    <mergeCell ref="AB2:AD2"/>
    <mergeCell ref="AE2:AG2"/>
  </mergeCells>
  <conditionalFormatting sqref="AV1:AV2">
    <cfRule type="notContainsBlanks" dxfId="10" priority="1">
      <formula>LEN(TRIM(AV1))&gt;0</formula>
    </cfRule>
  </conditionalFormatting>
  <conditionalFormatting sqref="AV5:AV206">
    <cfRule type="notContainsBlanks" dxfId="9" priority="2">
      <formula>LEN(TRIM(AV5))&gt;0</formula>
    </cfRule>
  </conditionalFormatting>
  <pageMargins left="0.7" right="0.7" top="0.75" bottom="0.75" header="0" footer="0"/>
  <pageSetup paperSize="9" orientation="portrait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73E40-54FA-4854-A8C2-02DAD34782EC}">
  <dimension ref="A1:N84"/>
  <sheetViews>
    <sheetView topLeftCell="B10" workbookViewId="0">
      <selection activeCell="G17" sqref="G17"/>
    </sheetView>
  </sheetViews>
  <sheetFormatPr defaultRowHeight="14.5"/>
  <cols>
    <col min="1" max="1" width="40.26953125" customWidth="1"/>
    <col min="2" max="2" width="24.36328125" customWidth="1"/>
    <col min="3" max="3" width="22.6328125" customWidth="1"/>
    <col min="4" max="4" width="22.453125" customWidth="1"/>
    <col min="6" max="13" width="8.7265625" customWidth="1"/>
    <col min="14" max="14" width="12" customWidth="1"/>
  </cols>
  <sheetData>
    <row r="1" spans="1:14" s="144" customFormat="1" ht="15">
      <c r="A1" s="345" t="s">
        <v>246</v>
      </c>
      <c r="B1" s="345"/>
      <c r="C1" s="345"/>
      <c r="D1" s="345"/>
      <c r="E1" s="143"/>
      <c r="F1" s="346" t="s">
        <v>239</v>
      </c>
      <c r="G1" s="347"/>
      <c r="H1" s="347"/>
      <c r="I1" s="347"/>
      <c r="J1" s="347"/>
      <c r="K1" s="347"/>
      <c r="L1" s="347"/>
      <c r="M1" s="348"/>
    </row>
    <row r="2" spans="1:14" s="144" customFormat="1">
      <c r="A2" s="145" t="s">
        <v>247</v>
      </c>
      <c r="B2" s="146"/>
      <c r="C2" s="147">
        <f>'HĐ T2.26'!AX2</f>
        <v>71112000</v>
      </c>
      <c r="D2" s="148" t="s">
        <v>173</v>
      </c>
      <c r="E2" s="149"/>
      <c r="F2" s="150"/>
      <c r="G2" s="150" t="s">
        <v>174</v>
      </c>
      <c r="H2" s="150" t="s">
        <v>175</v>
      </c>
      <c r="I2" s="150" t="s">
        <v>176</v>
      </c>
      <c r="J2" s="150" t="s">
        <v>177</v>
      </c>
      <c r="K2" s="151" t="s">
        <v>178</v>
      </c>
      <c r="L2" s="152" t="s">
        <v>179</v>
      </c>
      <c r="M2" s="152" t="s">
        <v>180</v>
      </c>
    </row>
    <row r="3" spans="1:14" s="144" customFormat="1">
      <c r="A3" s="349" t="s">
        <v>181</v>
      </c>
      <c r="B3" s="154"/>
      <c r="C3" s="155">
        <v>4100000</v>
      </c>
      <c r="D3" s="156" t="s">
        <v>252</v>
      </c>
      <c r="E3" s="149"/>
      <c r="F3" s="157" t="s">
        <v>182</v>
      </c>
      <c r="G3" s="155">
        <v>10</v>
      </c>
      <c r="H3" s="155">
        <f>G3*($C$22/100)</f>
        <v>4800000</v>
      </c>
      <c r="I3" s="155">
        <f>G3*$C$71/100</f>
        <v>1627802.2</v>
      </c>
      <c r="J3" s="155">
        <f>G3*$C$72/100</f>
        <v>516357.65242325142</v>
      </c>
      <c r="K3" s="158"/>
      <c r="L3" s="156"/>
      <c r="M3" s="157">
        <f>H3+J3</f>
        <v>5316357.6524232514</v>
      </c>
    </row>
    <row r="4" spans="1:14" s="144" customFormat="1">
      <c r="A4" s="350"/>
      <c r="B4" s="154"/>
      <c r="C4" s="155"/>
      <c r="D4" s="156"/>
      <c r="E4" s="149"/>
      <c r="F4" s="157" t="s">
        <v>183</v>
      </c>
      <c r="G4" s="155">
        <v>20</v>
      </c>
      <c r="H4" s="155">
        <f t="shared" ref="H4:H11" si="0">G4*($C$22/100)</f>
        <v>9600000</v>
      </c>
      <c r="I4" s="155">
        <f t="shared" ref="I4:I11" si="1">G4*$C$71/100</f>
        <v>3255604.4</v>
      </c>
      <c r="J4" s="155">
        <f t="shared" ref="J4:J11" si="2">G4*$C$72/100</f>
        <v>1032715.3048465028</v>
      </c>
      <c r="K4" s="158"/>
      <c r="L4" s="156"/>
      <c r="M4" s="157">
        <f t="shared" ref="M4:M11" si="3">H4+J4</f>
        <v>10632715.304846503</v>
      </c>
    </row>
    <row r="5" spans="1:14" s="144" customFormat="1">
      <c r="A5" s="351"/>
      <c r="B5" s="154"/>
      <c r="C5" s="155"/>
      <c r="D5" s="156"/>
      <c r="F5" s="157" t="s">
        <v>240</v>
      </c>
      <c r="G5" s="155">
        <v>15</v>
      </c>
      <c r="H5" s="155">
        <f t="shared" si="0"/>
        <v>7200000</v>
      </c>
      <c r="I5" s="155">
        <f t="shared" si="1"/>
        <v>2441703.2999999998</v>
      </c>
      <c r="J5" s="155">
        <f t="shared" si="2"/>
        <v>774536.47863487725</v>
      </c>
      <c r="K5" s="158"/>
      <c r="L5" s="156"/>
      <c r="M5" s="157">
        <f t="shared" si="3"/>
        <v>7974536.4786348771</v>
      </c>
    </row>
    <row r="6" spans="1:14" s="144" customFormat="1">
      <c r="A6" s="153" t="s">
        <v>185</v>
      </c>
      <c r="B6" s="159"/>
      <c r="C6" s="160"/>
      <c r="D6" s="161"/>
      <c r="F6" s="157" t="s">
        <v>241</v>
      </c>
      <c r="G6" s="155">
        <v>5</v>
      </c>
      <c r="H6" s="155">
        <f t="shared" si="0"/>
        <v>2400000</v>
      </c>
      <c r="I6" s="155">
        <f t="shared" si="1"/>
        <v>813901.1</v>
      </c>
      <c r="J6" s="155">
        <f t="shared" si="2"/>
        <v>258178.82621162571</v>
      </c>
      <c r="K6" s="158"/>
      <c r="L6" s="156"/>
      <c r="M6" s="157">
        <f t="shared" si="3"/>
        <v>2658178.8262116257</v>
      </c>
    </row>
    <row r="7" spans="1:14" s="144" customFormat="1">
      <c r="A7" s="349" t="s">
        <v>186</v>
      </c>
      <c r="B7" s="159"/>
      <c r="C7" s="160"/>
      <c r="D7" s="161"/>
      <c r="F7" s="157" t="s">
        <v>242</v>
      </c>
      <c r="G7" s="155">
        <v>15</v>
      </c>
      <c r="H7" s="155">
        <f t="shared" si="0"/>
        <v>7200000</v>
      </c>
      <c r="I7" s="155">
        <f t="shared" si="1"/>
        <v>2441703.2999999998</v>
      </c>
      <c r="J7" s="155">
        <f t="shared" si="2"/>
        <v>774536.47863487725</v>
      </c>
      <c r="K7" s="158"/>
      <c r="L7" s="156"/>
      <c r="M7" s="157">
        <f t="shared" si="3"/>
        <v>7974536.4786348771</v>
      </c>
    </row>
    <row r="8" spans="1:14" s="144" customFormat="1">
      <c r="A8" s="351"/>
      <c r="B8" s="159"/>
      <c r="C8" s="160"/>
      <c r="D8" s="161"/>
      <c r="F8" s="157" t="s">
        <v>184</v>
      </c>
      <c r="G8" s="155">
        <v>10</v>
      </c>
      <c r="H8" s="155">
        <f t="shared" si="0"/>
        <v>4800000</v>
      </c>
      <c r="I8" s="155">
        <f t="shared" si="1"/>
        <v>1627802.2</v>
      </c>
      <c r="J8" s="155">
        <f t="shared" si="2"/>
        <v>516357.65242325142</v>
      </c>
      <c r="K8" s="158"/>
      <c r="L8" s="156"/>
      <c r="M8" s="157">
        <f t="shared" si="3"/>
        <v>5316357.6524232514</v>
      </c>
      <c r="N8" s="166">
        <f>H13+J13</f>
        <v>53163576.524232514</v>
      </c>
    </row>
    <row r="9" spans="1:14" s="144" customFormat="1">
      <c r="A9" s="153"/>
      <c r="B9" s="159" t="s">
        <v>187</v>
      </c>
      <c r="C9" s="160">
        <v>1</v>
      </c>
      <c r="D9" s="161"/>
      <c r="F9" s="157" t="s">
        <v>243</v>
      </c>
      <c r="G9" s="155">
        <v>5</v>
      </c>
      <c r="H9" s="155">
        <f t="shared" si="0"/>
        <v>2400000</v>
      </c>
      <c r="I9" s="155">
        <f t="shared" si="1"/>
        <v>813901.1</v>
      </c>
      <c r="J9" s="155">
        <f t="shared" si="2"/>
        <v>258178.82621162571</v>
      </c>
      <c r="K9" s="158"/>
      <c r="L9" s="156"/>
      <c r="M9" s="157">
        <f t="shared" si="3"/>
        <v>2658178.8262116257</v>
      </c>
      <c r="N9" s="166">
        <f>H13+J13</f>
        <v>53163576.524232514</v>
      </c>
    </row>
    <row r="10" spans="1:14" s="144" customFormat="1">
      <c r="A10" s="153"/>
      <c r="B10" s="159" t="s">
        <v>188</v>
      </c>
      <c r="C10" s="160">
        <v>1</v>
      </c>
      <c r="D10" s="161"/>
      <c r="F10" s="157" t="s">
        <v>244</v>
      </c>
      <c r="G10" s="155">
        <v>10</v>
      </c>
      <c r="H10" s="155">
        <f t="shared" si="0"/>
        <v>4800000</v>
      </c>
      <c r="I10" s="155">
        <f t="shared" si="1"/>
        <v>1627802.2</v>
      </c>
      <c r="J10" s="155">
        <f t="shared" si="2"/>
        <v>516357.65242325142</v>
      </c>
      <c r="K10" s="158"/>
      <c r="L10" s="156"/>
      <c r="M10" s="157">
        <f t="shared" si="3"/>
        <v>5316357.6524232514</v>
      </c>
    </row>
    <row r="11" spans="1:14" s="144" customFormat="1">
      <c r="A11" s="153"/>
      <c r="B11" s="159" t="s">
        <v>189</v>
      </c>
      <c r="C11" s="160">
        <v>1</v>
      </c>
      <c r="D11" s="161"/>
      <c r="F11" s="157" t="s">
        <v>245</v>
      </c>
      <c r="G11" s="155">
        <v>10</v>
      </c>
      <c r="H11" s="155">
        <f t="shared" si="0"/>
        <v>4800000</v>
      </c>
      <c r="I11" s="155">
        <f t="shared" si="1"/>
        <v>1627802.2</v>
      </c>
      <c r="J11" s="155">
        <f t="shared" si="2"/>
        <v>516357.65242325142</v>
      </c>
      <c r="K11" s="158"/>
      <c r="L11" s="156"/>
      <c r="M11" s="157">
        <f t="shared" si="3"/>
        <v>5316357.6524232514</v>
      </c>
    </row>
    <row r="12" spans="1:14" s="144" customFormat="1">
      <c r="A12" s="167"/>
      <c r="B12" s="154" t="s">
        <v>190</v>
      </c>
      <c r="C12" s="168">
        <f>'HĐ T2.26'!I2-'HĐ T2.26'!I5</f>
        <v>54000000</v>
      </c>
      <c r="D12" s="169"/>
      <c r="F12" s="157"/>
      <c r="G12" s="155"/>
      <c r="H12" s="155"/>
      <c r="I12" s="155"/>
      <c r="J12" s="155"/>
      <c r="K12" s="158"/>
      <c r="L12" s="156"/>
      <c r="M12" s="157"/>
    </row>
    <row r="13" spans="1:14" s="144" customFormat="1">
      <c r="A13" s="170"/>
      <c r="B13" s="170" t="s">
        <v>191</v>
      </c>
      <c r="C13" s="171">
        <f>'HĐ T2.26'!T2+'HĐ T2.26'!AT2</f>
        <v>4172000</v>
      </c>
      <c r="D13" s="172"/>
      <c r="E13" s="173"/>
      <c r="F13" s="162"/>
      <c r="G13" s="163">
        <f>SUM(G3:G12)</f>
        <v>100</v>
      </c>
      <c r="H13" s="163">
        <f>SUM(H3:H12)</f>
        <v>48000000</v>
      </c>
      <c r="I13" s="163">
        <f>SUM(I3:I12)</f>
        <v>16278021.999999996</v>
      </c>
      <c r="J13" s="163">
        <f>SUM(J3:J12)</f>
        <v>5163576.5242325142</v>
      </c>
      <c r="K13" s="164">
        <f>C76*100</f>
        <v>9.4167461719310506</v>
      </c>
      <c r="L13" s="162">
        <f>C78</f>
        <v>4.0513782003592009</v>
      </c>
      <c r="M13" s="163">
        <f>SUM(M3:M12)</f>
        <v>53163576.524232507</v>
      </c>
    </row>
    <row r="14" spans="1:14" s="144" customFormat="1">
      <c r="A14" s="174"/>
      <c r="B14" s="174" t="s">
        <v>192</v>
      </c>
      <c r="C14" s="168">
        <f>'HĐ T2.26'!Y2-'HĐ T2.26'!Y5</f>
        <v>2880000</v>
      </c>
      <c r="D14" s="175"/>
      <c r="E14" s="173"/>
    </row>
    <row r="15" spans="1:14" s="144" customFormat="1">
      <c r="A15" s="174"/>
      <c r="B15" s="174" t="s">
        <v>193</v>
      </c>
      <c r="C15" s="168">
        <f>('HĐ T2.26'!AQ2-'HĐ T2.26'!AQ5)/2</f>
        <v>1440000</v>
      </c>
      <c r="D15" s="175"/>
      <c r="E15" s="173"/>
      <c r="F15" s="165"/>
    </row>
    <row r="16" spans="1:14" s="144" customFormat="1">
      <c r="A16" s="174"/>
      <c r="B16" s="174" t="s">
        <v>194</v>
      </c>
      <c r="C16" s="168">
        <f>'HĐ T2.26'!AE2-'HĐ T2.26'!AE5</f>
        <v>1000000</v>
      </c>
      <c r="D16" s="175"/>
      <c r="E16" s="173"/>
    </row>
    <row r="17" spans="1:14" s="144" customFormat="1">
      <c r="A17" s="176"/>
      <c r="B17" s="174" t="s">
        <v>195</v>
      </c>
      <c r="C17" s="177">
        <f>'HĐ T2.26'!AK2</f>
        <v>700000</v>
      </c>
      <c r="D17" s="178"/>
      <c r="E17" s="173"/>
    </row>
    <row r="18" spans="1:14" s="144" customFormat="1">
      <c r="A18" s="176"/>
      <c r="B18" s="176" t="s">
        <v>196</v>
      </c>
      <c r="C18" s="160">
        <f>'HĐ T2.26'!AH2-'HĐ T2.26'!AH5</f>
        <v>1380000</v>
      </c>
      <c r="D18" s="178"/>
      <c r="E18" s="173"/>
    </row>
    <row r="19" spans="1:14" s="144" customFormat="1" ht="15" thickBot="1">
      <c r="A19" s="176"/>
      <c r="B19" s="179" t="s">
        <v>197</v>
      </c>
      <c r="C19" s="180">
        <f>('HĐ T2.26'!AQ2-'HĐ T2.26'!AQ5)/2</f>
        <v>1440000</v>
      </c>
      <c r="D19" s="178"/>
      <c r="E19" s="173"/>
    </row>
    <row r="20" spans="1:14" s="144" customFormat="1" ht="15" thickBot="1">
      <c r="A20" s="179"/>
      <c r="B20" s="181" t="s">
        <v>198</v>
      </c>
      <c r="C20" s="182">
        <f>SUM(C13:C19)</f>
        <v>13012000</v>
      </c>
      <c r="D20" s="183"/>
      <c r="E20" s="173"/>
    </row>
    <row r="21" spans="1:14" s="144" customFormat="1">
      <c r="A21" s="184"/>
      <c r="B21" s="185"/>
      <c r="C21" s="186"/>
      <c r="D21" s="187"/>
      <c r="E21" s="173"/>
      <c r="N21" s="166"/>
    </row>
    <row r="22" spans="1:14" s="144" customFormat="1">
      <c r="A22" s="190" t="s">
        <v>199</v>
      </c>
      <c r="B22" s="154" t="s">
        <v>200</v>
      </c>
      <c r="C22" s="155">
        <v>48000000</v>
      </c>
      <c r="D22" s="156"/>
      <c r="E22" s="173"/>
    </row>
    <row r="23" spans="1:14" s="144" customFormat="1">
      <c r="A23" s="343" t="s">
        <v>201</v>
      </c>
      <c r="B23" s="192"/>
      <c r="C23" s="155"/>
      <c r="D23" s="156"/>
      <c r="E23" s="173"/>
      <c r="N23" s="189"/>
    </row>
    <row r="24" spans="1:14" s="144" customFormat="1">
      <c r="A24" s="344"/>
      <c r="B24" s="192"/>
      <c r="C24" s="155"/>
      <c r="D24" s="156"/>
      <c r="E24" s="173"/>
      <c r="N24" s="189"/>
    </row>
    <row r="25" spans="1:14" s="144" customFormat="1">
      <c r="A25" s="344"/>
      <c r="B25" s="154"/>
      <c r="C25" s="155"/>
      <c r="D25" s="155"/>
      <c r="E25" s="173"/>
      <c r="N25" s="189"/>
    </row>
    <row r="26" spans="1:14" s="144" customFormat="1">
      <c r="A26" s="344"/>
      <c r="B26" s="154"/>
      <c r="C26" s="155"/>
      <c r="D26" s="156"/>
      <c r="E26" s="173"/>
      <c r="N26" s="189"/>
    </row>
    <row r="27" spans="1:14" s="144" customFormat="1">
      <c r="A27" s="352"/>
      <c r="B27" s="154"/>
      <c r="C27" s="195"/>
      <c r="D27" s="156"/>
      <c r="E27" s="196"/>
      <c r="F27" s="165"/>
      <c r="N27" s="189"/>
    </row>
    <row r="28" spans="1:14" s="144" customFormat="1">
      <c r="A28" s="343" t="s">
        <v>202</v>
      </c>
      <c r="B28" s="154" t="s">
        <v>19</v>
      </c>
      <c r="C28" s="155">
        <v>6533978</v>
      </c>
      <c r="D28" s="156"/>
      <c r="E28" s="173"/>
      <c r="F28" s="188"/>
      <c r="G28" s="188"/>
      <c r="H28" s="188"/>
      <c r="I28" s="188"/>
      <c r="J28" s="188"/>
      <c r="K28" s="188"/>
      <c r="L28" s="188"/>
      <c r="M28" s="189"/>
      <c r="N28" s="189"/>
    </row>
    <row r="29" spans="1:14" s="144" customFormat="1">
      <c r="A29" s="344"/>
      <c r="B29" s="154" t="s">
        <v>20</v>
      </c>
      <c r="C29" s="155">
        <v>0</v>
      </c>
      <c r="D29" s="156"/>
      <c r="E29" s="173"/>
      <c r="F29" s="188"/>
      <c r="G29" s="188"/>
      <c r="H29" s="188"/>
      <c r="I29" s="188"/>
      <c r="J29" s="188"/>
      <c r="K29" s="188"/>
      <c r="L29" s="188"/>
      <c r="M29" s="191"/>
      <c r="N29" s="189"/>
    </row>
    <row r="30" spans="1:14" s="144" customFormat="1">
      <c r="A30" s="344"/>
      <c r="B30" s="154" t="s">
        <v>203</v>
      </c>
      <c r="C30" s="155">
        <v>0</v>
      </c>
      <c r="D30" s="156"/>
      <c r="E30" s="173"/>
      <c r="F30" s="173"/>
      <c r="G30" s="173"/>
      <c r="H30" s="173"/>
      <c r="I30" s="173"/>
      <c r="J30" s="193"/>
      <c r="K30" s="194"/>
      <c r="L30" s="173"/>
      <c r="M30" s="173"/>
      <c r="N30" s="189"/>
    </row>
    <row r="31" spans="1:14" s="144" customFormat="1">
      <c r="A31" s="344"/>
      <c r="B31" s="154" t="s">
        <v>204</v>
      </c>
      <c r="C31" s="155">
        <v>300000</v>
      </c>
      <c r="D31" s="155"/>
      <c r="E31" s="149"/>
      <c r="F31" s="173"/>
      <c r="G31" s="173"/>
      <c r="H31" s="173"/>
      <c r="I31" s="173"/>
      <c r="J31" s="193"/>
      <c r="K31" s="194"/>
      <c r="L31" s="173"/>
      <c r="M31" s="173"/>
    </row>
    <row r="32" spans="1:14" s="144" customFormat="1">
      <c r="A32" s="344"/>
      <c r="B32" s="154" t="s">
        <v>205</v>
      </c>
      <c r="C32" s="155"/>
      <c r="D32" s="156"/>
      <c r="E32" s="149"/>
      <c r="F32" s="173"/>
      <c r="G32" s="173"/>
      <c r="H32" s="173"/>
      <c r="I32" s="173"/>
      <c r="J32" s="193"/>
      <c r="K32" s="194"/>
      <c r="L32" s="173"/>
      <c r="M32" s="173"/>
    </row>
    <row r="33" spans="1:13" s="144" customFormat="1">
      <c r="A33" s="344"/>
      <c r="B33" s="154" t="s">
        <v>206</v>
      </c>
      <c r="C33" s="155"/>
      <c r="D33" s="156"/>
      <c r="E33" s="149"/>
      <c r="F33" s="173"/>
      <c r="G33" s="173"/>
      <c r="H33" s="173"/>
      <c r="I33" s="173"/>
      <c r="J33" s="193"/>
      <c r="K33" s="194"/>
      <c r="L33" s="173"/>
      <c r="M33" s="173"/>
    </row>
    <row r="34" spans="1:13" s="144" customFormat="1">
      <c r="A34" s="198" t="s">
        <v>207</v>
      </c>
      <c r="B34" s="145"/>
      <c r="C34" s="147">
        <f>SUM(C22:C33)</f>
        <v>54833978</v>
      </c>
      <c r="D34" s="156"/>
      <c r="E34" s="149"/>
      <c r="F34" s="173"/>
      <c r="G34" s="173"/>
      <c r="H34" s="173"/>
      <c r="I34" s="173"/>
      <c r="J34" s="193"/>
      <c r="K34" s="194"/>
      <c r="L34" s="173"/>
      <c r="M34" s="173"/>
    </row>
    <row r="35" spans="1:13" s="144" customFormat="1">
      <c r="A35" s="353" t="s">
        <v>208</v>
      </c>
      <c r="B35" s="154" t="s">
        <v>21</v>
      </c>
      <c r="C35" s="155">
        <f>'[5]THÁNG 2 '!$W$116</f>
        <v>1379432.0815766132</v>
      </c>
      <c r="D35" s="155"/>
      <c r="E35" s="143"/>
      <c r="F35" s="173"/>
      <c r="G35" s="173"/>
      <c r="H35" s="173"/>
      <c r="I35" s="173"/>
      <c r="J35" s="193"/>
      <c r="K35" s="194"/>
      <c r="L35" s="173"/>
      <c r="M35" s="173"/>
    </row>
    <row r="36" spans="1:13" s="144" customFormat="1">
      <c r="A36" s="354"/>
      <c r="B36" s="154" t="s">
        <v>22</v>
      </c>
      <c r="C36" s="155">
        <f>(12000000/1205)*15</f>
        <v>149377.59336099584</v>
      </c>
      <c r="D36" s="155"/>
      <c r="E36" s="143"/>
      <c r="F36" s="173"/>
      <c r="G36" s="173"/>
      <c r="H36" s="173"/>
      <c r="I36" s="173"/>
      <c r="J36" s="193"/>
      <c r="K36" s="194"/>
      <c r="L36" s="173"/>
      <c r="M36" s="173"/>
    </row>
    <row r="37" spans="1:13" s="144" customFormat="1">
      <c r="A37" s="354"/>
      <c r="B37" s="154" t="s">
        <v>209</v>
      </c>
      <c r="C37" s="155">
        <f>(10000000/1205)*15+7000*15</f>
        <v>229481.32780082989</v>
      </c>
      <c r="D37" s="155"/>
      <c r="E37" s="143"/>
      <c r="F37" s="149"/>
      <c r="G37" s="149"/>
      <c r="H37" s="149"/>
      <c r="I37" s="149"/>
      <c r="J37" s="143"/>
      <c r="K37" s="197"/>
      <c r="L37" s="149"/>
      <c r="M37" s="149"/>
    </row>
    <row r="38" spans="1:13" s="144" customFormat="1">
      <c r="A38" s="354"/>
      <c r="B38" s="154" t="s">
        <v>24</v>
      </c>
      <c r="C38" s="155">
        <f>(8000000/1205)*15+5000*15</f>
        <v>174585.06224066392</v>
      </c>
      <c r="D38" s="155"/>
      <c r="E38" s="143"/>
      <c r="F38" s="149"/>
      <c r="G38" s="149"/>
      <c r="H38" s="149"/>
      <c r="I38" s="149"/>
      <c r="J38" s="143"/>
      <c r="K38" s="197"/>
      <c r="L38" s="149"/>
      <c r="M38" s="149"/>
    </row>
    <row r="39" spans="1:13" s="144" customFormat="1">
      <c r="A39" s="354"/>
      <c r="B39" s="154" t="s">
        <v>255</v>
      </c>
      <c r="C39" s="155">
        <f>(6000000/1205)*15</f>
        <v>74688.796680497922</v>
      </c>
      <c r="D39" s="155"/>
      <c r="E39" s="143"/>
      <c r="F39" s="149"/>
      <c r="G39" s="149"/>
      <c r="H39" s="149"/>
      <c r="I39" s="149"/>
      <c r="J39" s="143"/>
      <c r="K39" s="197"/>
      <c r="L39" s="149"/>
      <c r="M39" s="149"/>
    </row>
    <row r="40" spans="1:13" s="144" customFormat="1">
      <c r="A40" s="354"/>
      <c r="B40" s="154" t="s">
        <v>210</v>
      </c>
      <c r="C40" s="155">
        <f>(SUM('[5]THÁNG 2 '!$Y$126/1205)*15)</f>
        <v>291573.57261410786</v>
      </c>
      <c r="D40" s="155"/>
      <c r="E40" s="143"/>
      <c r="F40" s="149"/>
      <c r="G40" s="149"/>
      <c r="H40" s="149"/>
      <c r="I40" s="149"/>
      <c r="J40" s="143"/>
      <c r="K40" s="197"/>
      <c r="L40" s="149"/>
      <c r="M40" s="149"/>
    </row>
    <row r="41" spans="1:13" s="144" customFormat="1">
      <c r="A41" s="354"/>
      <c r="B41" s="154" t="s">
        <v>26</v>
      </c>
      <c r="C41" s="155">
        <v>550000</v>
      </c>
      <c r="D41" s="155"/>
      <c r="E41" s="143"/>
      <c r="F41" s="149"/>
      <c r="G41" s="149"/>
      <c r="H41" s="149"/>
      <c r="I41" s="149"/>
      <c r="J41" s="143"/>
      <c r="K41" s="197"/>
      <c r="L41" s="149"/>
      <c r="M41" s="149"/>
    </row>
    <row r="42" spans="1:13" s="144" customFormat="1">
      <c r="A42" s="354"/>
      <c r="B42" s="154" t="s">
        <v>27</v>
      </c>
      <c r="C42" s="155">
        <f>150000+10000+(2000000/1205)*15</f>
        <v>184896.26556016598</v>
      </c>
      <c r="D42" s="155"/>
      <c r="E42" s="143"/>
      <c r="F42" s="149"/>
      <c r="G42" s="149"/>
      <c r="H42" s="149"/>
      <c r="I42" s="149"/>
      <c r="J42" s="143"/>
      <c r="K42" s="197"/>
      <c r="L42" s="149"/>
      <c r="M42" s="149"/>
    </row>
    <row r="43" spans="1:13" s="144" customFormat="1">
      <c r="A43" s="354"/>
      <c r="B43" s="154" t="s">
        <v>28</v>
      </c>
      <c r="C43" s="155">
        <f>(22000000/1205)*15</f>
        <v>273858.92116182571</v>
      </c>
      <c r="D43" s="155"/>
      <c r="E43" s="143"/>
      <c r="F43" s="149"/>
      <c r="G43" s="149"/>
      <c r="H43" s="149"/>
      <c r="I43" s="149"/>
      <c r="J43" s="143"/>
      <c r="K43" s="197"/>
      <c r="L43" s="149"/>
      <c r="M43" s="149"/>
    </row>
    <row r="44" spans="1:13" s="144" customFormat="1">
      <c r="A44" s="354"/>
      <c r="B44" s="154" t="s">
        <v>29</v>
      </c>
      <c r="C44" s="155"/>
      <c r="D44" s="155"/>
      <c r="E44" s="143"/>
      <c r="F44" s="149"/>
      <c r="G44" s="149"/>
      <c r="H44" s="149"/>
      <c r="I44" s="149"/>
      <c r="J44" s="143"/>
      <c r="K44" s="197"/>
      <c r="L44" s="149"/>
      <c r="M44" s="149"/>
    </row>
    <row r="45" spans="1:13" s="144" customFormat="1">
      <c r="A45" s="355"/>
      <c r="B45" s="154" t="s">
        <v>211</v>
      </c>
      <c r="C45" s="155">
        <f>('[6]THÁNG 2.26  '!$B$19/1205)*15</f>
        <v>2268821.5643153526</v>
      </c>
      <c r="D45" s="155"/>
      <c r="E45" s="143"/>
      <c r="F45" s="149"/>
      <c r="G45" s="149"/>
      <c r="H45" s="149"/>
      <c r="I45" s="149"/>
      <c r="J45" s="143"/>
      <c r="K45" s="197"/>
      <c r="L45" s="149"/>
      <c r="M45" s="149"/>
    </row>
    <row r="46" spans="1:13" s="144" customFormat="1">
      <c r="A46" s="343" t="s">
        <v>212</v>
      </c>
      <c r="B46" s="349" t="s">
        <v>31</v>
      </c>
      <c r="C46" s="155">
        <f>('[6]THÁNG 2.26  '!$F$10/1205)*15</f>
        <v>97730.290456431525</v>
      </c>
      <c r="D46" s="155"/>
      <c r="E46" s="143"/>
      <c r="F46" s="149"/>
      <c r="G46" s="149"/>
      <c r="H46" s="149"/>
      <c r="I46" s="149"/>
      <c r="J46" s="143"/>
      <c r="K46" s="197"/>
      <c r="L46" s="149"/>
      <c r="M46" s="149"/>
    </row>
    <row r="47" spans="1:13" s="144" customFormat="1">
      <c r="A47" s="344"/>
      <c r="B47" s="350"/>
      <c r="C47" s="155">
        <v>2050000</v>
      </c>
      <c r="D47" s="155" t="s">
        <v>252</v>
      </c>
      <c r="E47" s="143"/>
      <c r="F47" s="149"/>
      <c r="G47" s="149"/>
      <c r="H47" s="149"/>
      <c r="I47" s="149"/>
      <c r="J47" s="143"/>
      <c r="K47" s="197"/>
      <c r="L47" s="149"/>
      <c r="M47" s="149"/>
    </row>
    <row r="48" spans="1:13" s="144" customFormat="1">
      <c r="A48" s="344"/>
      <c r="B48" s="350"/>
      <c r="C48" s="155"/>
      <c r="D48" s="155"/>
      <c r="E48" s="143"/>
      <c r="F48" s="149"/>
      <c r="G48" s="149"/>
      <c r="H48" s="149"/>
      <c r="I48" s="149"/>
      <c r="J48" s="143"/>
      <c r="K48" s="197"/>
      <c r="L48" s="149"/>
      <c r="M48" s="149"/>
    </row>
    <row r="49" spans="1:13" s="144" customFormat="1">
      <c r="A49" s="344"/>
      <c r="B49" s="351"/>
      <c r="C49" s="155"/>
      <c r="D49" s="155"/>
      <c r="E49" s="143"/>
      <c r="F49" s="149"/>
      <c r="G49" s="149"/>
      <c r="H49" s="149"/>
      <c r="I49" s="149"/>
      <c r="J49" s="143"/>
      <c r="K49" s="197"/>
      <c r="L49" s="149"/>
      <c r="M49" s="149"/>
    </row>
    <row r="50" spans="1:13" s="144" customFormat="1">
      <c r="A50" s="344"/>
      <c r="B50" s="356" t="s">
        <v>213</v>
      </c>
      <c r="C50" s="155">
        <v>10000</v>
      </c>
      <c r="D50" s="199" t="s">
        <v>253</v>
      </c>
      <c r="E50" s="143"/>
      <c r="F50" s="149"/>
      <c r="G50" s="149"/>
      <c r="H50" s="149"/>
      <c r="I50" s="149"/>
      <c r="J50" s="143"/>
      <c r="K50" s="197"/>
      <c r="L50" s="149"/>
      <c r="M50" s="149"/>
    </row>
    <row r="51" spans="1:13" s="144" customFormat="1" ht="24" customHeight="1">
      <c r="A51" s="344"/>
      <c r="B51" s="357"/>
      <c r="C51" s="200"/>
      <c r="D51" s="199"/>
      <c r="E51" s="143"/>
      <c r="F51" s="149"/>
      <c r="G51" s="149"/>
      <c r="H51" s="149"/>
      <c r="I51" s="149"/>
      <c r="J51" s="143"/>
      <c r="K51" s="197"/>
      <c r="L51" s="149"/>
      <c r="M51" s="149"/>
    </row>
    <row r="52" spans="1:13" s="144" customFormat="1">
      <c r="A52" s="344"/>
      <c r="B52" s="357"/>
      <c r="C52" s="200"/>
      <c r="D52" s="199"/>
      <c r="E52" s="143"/>
      <c r="F52" s="149"/>
      <c r="G52" s="149"/>
      <c r="H52" s="149"/>
      <c r="I52" s="149"/>
      <c r="J52" s="143"/>
      <c r="K52" s="197"/>
      <c r="L52" s="149"/>
      <c r="M52" s="149"/>
    </row>
    <row r="53" spans="1:13" s="144" customFormat="1">
      <c r="A53" s="344"/>
      <c r="B53" s="357"/>
      <c r="C53" s="200"/>
      <c r="D53" s="199"/>
      <c r="E53" s="143"/>
      <c r="F53" s="149"/>
      <c r="G53" s="149"/>
      <c r="H53" s="149"/>
      <c r="I53" s="149"/>
      <c r="J53" s="143"/>
      <c r="K53" s="197"/>
      <c r="L53" s="149"/>
      <c r="M53" s="149"/>
    </row>
    <row r="54" spans="1:13" s="144" customFormat="1">
      <c r="A54" s="344"/>
      <c r="B54" s="357"/>
      <c r="C54" s="200"/>
      <c r="D54" s="199"/>
      <c r="E54" s="143"/>
      <c r="F54" s="149"/>
      <c r="G54" s="149"/>
      <c r="H54" s="149"/>
      <c r="I54" s="149"/>
      <c r="J54" s="143"/>
      <c r="K54" s="197"/>
      <c r="L54" s="149"/>
      <c r="M54" s="149"/>
    </row>
    <row r="55" spans="1:13" s="144" customFormat="1">
      <c r="A55" s="344"/>
      <c r="B55" s="357"/>
      <c r="C55" s="200"/>
      <c r="D55" s="199"/>
      <c r="E55" s="143"/>
      <c r="F55" s="149"/>
      <c r="G55" s="149"/>
      <c r="H55" s="149"/>
      <c r="I55" s="149"/>
      <c r="J55" s="143"/>
      <c r="K55" s="197"/>
      <c r="L55" s="149"/>
      <c r="M55" s="149"/>
    </row>
    <row r="56" spans="1:13" s="144" customFormat="1">
      <c r="A56" s="344"/>
      <c r="B56" s="357"/>
      <c r="C56" s="200"/>
      <c r="D56" s="199"/>
      <c r="E56" s="143"/>
      <c r="F56" s="149"/>
      <c r="G56" s="149"/>
      <c r="H56" s="149"/>
      <c r="I56" s="149"/>
      <c r="J56" s="143"/>
      <c r="K56" s="197"/>
      <c r="L56" s="149"/>
      <c r="M56" s="149"/>
    </row>
    <row r="57" spans="1:13" s="144" customFormat="1">
      <c r="A57" s="344"/>
      <c r="B57" s="357"/>
      <c r="C57" s="201"/>
      <c r="D57" s="202"/>
      <c r="E57" s="143"/>
      <c r="F57" s="149"/>
      <c r="G57" s="149"/>
      <c r="H57" s="149"/>
      <c r="I57" s="149"/>
      <c r="J57" s="143"/>
      <c r="K57" s="197"/>
      <c r="L57" s="149"/>
      <c r="M57" s="149"/>
    </row>
    <row r="58" spans="1:13" s="144" customFormat="1">
      <c r="A58" s="344"/>
      <c r="B58" s="357"/>
      <c r="C58" s="201"/>
      <c r="D58" s="202"/>
      <c r="E58" s="143"/>
      <c r="F58" s="149"/>
      <c r="G58" s="149"/>
      <c r="H58" s="149"/>
      <c r="I58" s="149"/>
      <c r="J58" s="143"/>
      <c r="K58" s="197"/>
      <c r="L58" s="149"/>
      <c r="M58" s="149"/>
    </row>
    <row r="59" spans="1:13" s="144" customFormat="1">
      <c r="A59" s="344"/>
      <c r="B59" s="357"/>
      <c r="C59" s="201"/>
      <c r="D59" s="202"/>
      <c r="E59" s="143"/>
      <c r="F59" s="149"/>
      <c r="G59" s="149"/>
      <c r="H59" s="149"/>
      <c r="I59" s="149"/>
      <c r="J59" s="143"/>
      <c r="K59" s="197"/>
      <c r="L59" s="149"/>
      <c r="M59" s="149"/>
    </row>
    <row r="60" spans="1:13" s="144" customFormat="1">
      <c r="A60" s="344"/>
      <c r="B60" s="357"/>
      <c r="C60" s="201"/>
      <c r="D60" s="202"/>
      <c r="E60" s="143"/>
      <c r="F60" s="149"/>
      <c r="G60" s="149"/>
      <c r="H60" s="149"/>
      <c r="I60" s="149"/>
      <c r="J60" s="143"/>
      <c r="K60" s="197"/>
      <c r="L60" s="149"/>
      <c r="M60" s="149"/>
    </row>
    <row r="61" spans="1:13" s="144" customFormat="1">
      <c r="A61" s="344"/>
      <c r="B61" s="357"/>
      <c r="C61" s="201"/>
      <c r="D61" s="202"/>
      <c r="E61" s="143"/>
      <c r="F61" s="149"/>
      <c r="G61" s="149"/>
      <c r="H61" s="149"/>
      <c r="I61" s="149"/>
      <c r="J61" s="143"/>
      <c r="K61" s="197"/>
      <c r="L61" s="149"/>
      <c r="M61" s="149"/>
    </row>
    <row r="62" spans="1:13" s="144" customFormat="1">
      <c r="A62" s="344"/>
      <c r="B62" s="357"/>
      <c r="C62" s="201"/>
      <c r="D62" s="202"/>
      <c r="E62" s="143"/>
      <c r="F62" s="149"/>
      <c r="G62" s="149"/>
      <c r="H62" s="149"/>
      <c r="I62" s="149"/>
      <c r="J62" s="143"/>
      <c r="K62" s="197"/>
      <c r="L62" s="149"/>
      <c r="M62" s="149"/>
    </row>
    <row r="63" spans="1:13" s="144" customFormat="1">
      <c r="A63" s="344"/>
      <c r="B63" s="357"/>
      <c r="C63" s="201"/>
      <c r="D63" s="202"/>
      <c r="E63" s="149"/>
      <c r="F63" s="149"/>
      <c r="G63" s="149"/>
      <c r="H63" s="149"/>
      <c r="I63" s="149"/>
      <c r="J63" s="143"/>
      <c r="K63" s="197"/>
      <c r="L63" s="149"/>
      <c r="M63" s="149"/>
    </row>
    <row r="64" spans="1:13" s="144" customFormat="1">
      <c r="A64" s="344"/>
      <c r="B64" s="358"/>
      <c r="C64" s="201"/>
      <c r="D64" s="202"/>
      <c r="E64" s="143"/>
      <c r="F64" s="149"/>
      <c r="G64" s="149"/>
      <c r="H64" s="149"/>
      <c r="I64" s="149"/>
      <c r="J64" s="143"/>
      <c r="K64" s="197"/>
      <c r="L64" s="149"/>
      <c r="M64" s="149"/>
    </row>
    <row r="65" spans="1:13" s="144" customFormat="1">
      <c r="A65" s="344"/>
      <c r="B65" s="357" t="s">
        <v>214</v>
      </c>
      <c r="C65" s="200">
        <v>3380000</v>
      </c>
      <c r="D65" s="199" t="s">
        <v>254</v>
      </c>
      <c r="E65" s="143"/>
      <c r="F65" s="149"/>
      <c r="G65" s="149"/>
      <c r="H65" s="149"/>
      <c r="I65" s="149"/>
      <c r="J65" s="143"/>
      <c r="K65" s="197"/>
      <c r="L65" s="149"/>
      <c r="M65" s="149"/>
    </row>
    <row r="66" spans="1:13" s="144" customFormat="1">
      <c r="A66" s="344"/>
      <c r="B66" s="357"/>
      <c r="C66" s="200"/>
      <c r="D66" s="199"/>
      <c r="E66" s="143"/>
      <c r="F66" s="149"/>
      <c r="G66" s="149"/>
      <c r="H66" s="149"/>
      <c r="I66" s="149"/>
      <c r="J66" s="143"/>
      <c r="K66" s="197"/>
      <c r="L66" s="149"/>
      <c r="M66" s="149"/>
    </row>
    <row r="67" spans="1:13" s="144" customFormat="1">
      <c r="A67" s="344"/>
      <c r="B67" s="357"/>
      <c r="C67" s="201"/>
      <c r="D67" s="202"/>
      <c r="E67" s="143"/>
      <c r="F67" s="149"/>
      <c r="G67" s="149"/>
      <c r="H67" s="149"/>
      <c r="I67" s="149"/>
      <c r="J67" s="143"/>
      <c r="K67" s="197"/>
      <c r="L67" s="149"/>
      <c r="M67" s="149"/>
    </row>
    <row r="68" spans="1:13" s="144" customFormat="1">
      <c r="A68" s="352"/>
      <c r="B68" s="358"/>
      <c r="C68" s="155"/>
      <c r="D68" s="156"/>
      <c r="E68" s="143"/>
      <c r="F68" s="149"/>
      <c r="G68" s="149"/>
      <c r="H68" s="149"/>
      <c r="I68" s="149"/>
      <c r="J68" s="143"/>
      <c r="K68" s="197"/>
      <c r="L68" s="149"/>
      <c r="M68" s="149"/>
    </row>
    <row r="69" spans="1:13" s="144" customFormat="1">
      <c r="A69" s="198" t="s">
        <v>215</v>
      </c>
      <c r="B69" s="145"/>
      <c r="C69" s="203">
        <f>SUM(C35:C68)</f>
        <v>11114445.475767486</v>
      </c>
      <c r="D69" s="36"/>
      <c r="E69" s="149"/>
      <c r="F69" s="149"/>
      <c r="G69" s="149"/>
      <c r="H69" s="149"/>
      <c r="I69" s="149"/>
      <c r="J69" s="143"/>
      <c r="K69" s="197"/>
      <c r="L69" s="149"/>
      <c r="M69" s="149"/>
    </row>
    <row r="70" spans="1:13" s="144" customFormat="1">
      <c r="A70" s="204" t="s">
        <v>216</v>
      </c>
      <c r="B70" s="205"/>
      <c r="C70" s="206">
        <f>C34+C69</f>
        <v>65948423.475767486</v>
      </c>
      <c r="D70" s="36"/>
      <c r="E70" s="149"/>
      <c r="F70" s="149"/>
      <c r="G70" s="149"/>
      <c r="H70" s="149"/>
      <c r="I70" s="149"/>
      <c r="J70" s="143"/>
      <c r="K70" s="197"/>
      <c r="L70" s="149"/>
      <c r="M70" s="149"/>
    </row>
    <row r="71" spans="1:13" s="144" customFormat="1">
      <c r="A71" s="207" t="s">
        <v>217</v>
      </c>
      <c r="B71" s="207"/>
      <c r="C71" s="208">
        <f>C2-C34</f>
        <v>16278022</v>
      </c>
      <c r="D71" s="156" t="s">
        <v>218</v>
      </c>
      <c r="E71" s="143"/>
      <c r="F71" s="149"/>
      <c r="G71" s="149"/>
      <c r="H71" s="149"/>
      <c r="I71" s="149"/>
      <c r="J71" s="143"/>
      <c r="K71" s="197"/>
      <c r="L71" s="149"/>
      <c r="M71" s="149"/>
    </row>
    <row r="72" spans="1:13" s="144" customFormat="1">
      <c r="A72" s="209" t="s">
        <v>219</v>
      </c>
      <c r="B72" s="209"/>
      <c r="C72" s="210">
        <f>C2-C70</f>
        <v>5163576.5242325142</v>
      </c>
      <c r="D72" s="156" t="s">
        <v>220</v>
      </c>
      <c r="E72" s="149"/>
      <c r="F72" s="149"/>
      <c r="G72" s="149"/>
      <c r="H72" s="149"/>
      <c r="I72" s="149"/>
      <c r="J72" s="143"/>
      <c r="K72" s="197"/>
      <c r="L72" s="149"/>
      <c r="M72" s="149"/>
    </row>
    <row r="73" spans="1:13" s="144" customFormat="1">
      <c r="A73" s="211" t="s">
        <v>207</v>
      </c>
      <c r="B73" s="211"/>
      <c r="C73" s="212">
        <f>C34</f>
        <v>54833978</v>
      </c>
      <c r="D73" s="156"/>
      <c r="E73" s="149"/>
      <c r="F73" s="149"/>
      <c r="G73" s="149"/>
      <c r="H73" s="149"/>
      <c r="I73" s="149"/>
      <c r="J73" s="143"/>
      <c r="K73" s="197"/>
      <c r="L73" s="149"/>
      <c r="M73" s="149"/>
    </row>
    <row r="74" spans="1:13" s="144" customFormat="1">
      <c r="A74" s="214" t="s">
        <v>221</v>
      </c>
      <c r="B74" s="215"/>
      <c r="C74" s="216">
        <f>C72/C2</f>
        <v>7.2611887223429442E-2</v>
      </c>
      <c r="D74" s="156"/>
      <c r="E74" s="149"/>
      <c r="J74" s="143"/>
      <c r="K74" s="197"/>
      <c r="L74" s="149"/>
      <c r="M74" s="149"/>
    </row>
    <row r="75" spans="1:13" s="144" customFormat="1">
      <c r="A75" s="214" t="s">
        <v>222</v>
      </c>
      <c r="B75" s="215"/>
      <c r="C75" s="216">
        <f>C71/C2</f>
        <v>0.22890682303971199</v>
      </c>
      <c r="D75" s="156"/>
      <c r="J75" s="143"/>
      <c r="K75" s="197"/>
      <c r="L75" s="149"/>
      <c r="M75" s="149"/>
    </row>
    <row r="76" spans="1:13" s="144" customFormat="1">
      <c r="A76" s="214" t="s">
        <v>223</v>
      </c>
      <c r="B76" s="215"/>
      <c r="C76" s="216">
        <f>C72/C73</f>
        <v>9.4167461719310508E-2</v>
      </c>
      <c r="D76" s="156"/>
      <c r="J76" s="143"/>
      <c r="K76" s="197"/>
      <c r="L76" s="149"/>
      <c r="M76" s="149"/>
    </row>
    <row r="77" spans="1:13">
      <c r="A77" s="214" t="s">
        <v>224</v>
      </c>
      <c r="B77" s="215"/>
      <c r="C77" s="216">
        <f>C72/C71</f>
        <v>0.31721154598713003</v>
      </c>
      <c r="D77" s="156"/>
      <c r="F77" s="144"/>
      <c r="G77" s="144"/>
      <c r="H77" s="144"/>
      <c r="I77" s="144"/>
      <c r="J77" s="143"/>
      <c r="K77" s="197"/>
      <c r="L77" s="149"/>
      <c r="M77" s="149"/>
    </row>
    <row r="78" spans="1:13">
      <c r="A78" s="214" t="s">
        <v>179</v>
      </c>
      <c r="B78" s="215"/>
      <c r="C78" s="217">
        <f>C70/C71</f>
        <v>4.0513782003592009</v>
      </c>
      <c r="D78" s="156"/>
      <c r="F78" s="144"/>
      <c r="G78" s="144"/>
      <c r="H78" s="144"/>
      <c r="I78" s="144"/>
      <c r="J78" s="143"/>
      <c r="K78" s="197"/>
      <c r="L78" s="149"/>
      <c r="M78" s="149"/>
    </row>
    <row r="79" spans="1:13">
      <c r="A79" s="214" t="s">
        <v>225</v>
      </c>
      <c r="B79" s="218"/>
      <c r="C79" s="218">
        <f>C73/C2</f>
        <v>0.77109317696028801</v>
      </c>
      <c r="D79" s="9"/>
      <c r="F79" s="144"/>
      <c r="G79" s="144"/>
      <c r="H79" s="144"/>
      <c r="I79" s="144"/>
      <c r="J79" s="143"/>
      <c r="K79" s="197"/>
      <c r="L79" s="149"/>
      <c r="M79" s="149"/>
    </row>
    <row r="80" spans="1:13">
      <c r="A80" s="214" t="s">
        <v>226</v>
      </c>
      <c r="B80" s="218"/>
      <c r="C80" s="218">
        <f>C69/C2</f>
        <v>0.15629493581628257</v>
      </c>
      <c r="D80" s="9"/>
      <c r="F80" s="144"/>
      <c r="G80" s="144"/>
      <c r="H80" s="144"/>
      <c r="I80" s="144"/>
      <c r="J80" s="149"/>
      <c r="K80" s="213"/>
      <c r="L80" s="149"/>
      <c r="M80" s="149"/>
    </row>
    <row r="81" spans="1:13">
      <c r="A81" s="214" t="s">
        <v>227</v>
      </c>
      <c r="B81" s="218"/>
      <c r="C81" s="218">
        <f>C70/C2</f>
        <v>0.92738811277657052</v>
      </c>
      <c r="D81" s="9"/>
      <c r="F81" s="144"/>
      <c r="G81" s="144"/>
      <c r="H81" s="144"/>
      <c r="I81" s="144"/>
      <c r="J81" s="149"/>
      <c r="K81" s="213"/>
      <c r="L81" s="149"/>
      <c r="M81" s="149"/>
    </row>
    <row r="82" spans="1:13">
      <c r="A82" s="214" t="s">
        <v>228</v>
      </c>
      <c r="B82" s="218"/>
      <c r="C82" s="218">
        <f>SUM(C35:C44)/C69</f>
        <v>0.29762111193111779</v>
      </c>
      <c r="D82" s="9"/>
      <c r="F82" s="144"/>
      <c r="G82" s="144"/>
      <c r="H82" s="144"/>
      <c r="I82" s="144"/>
      <c r="J82" s="149"/>
      <c r="K82" s="213"/>
      <c r="L82" s="149"/>
      <c r="M82" s="149"/>
    </row>
    <row r="83" spans="1:13">
      <c r="A83" s="214" t="s">
        <v>229</v>
      </c>
      <c r="B83" s="218"/>
      <c r="C83" s="218">
        <f>SUM(C46:C49)/C69</f>
        <v>0.19323773688386592</v>
      </c>
      <c r="D83" s="9"/>
    </row>
    <row r="84" spans="1:13">
      <c r="A84" s="214" t="s">
        <v>230</v>
      </c>
      <c r="B84" s="218"/>
      <c r="C84" s="218">
        <f>SUM(C65:C68)/C69</f>
        <v>0.30410873915116315</v>
      </c>
      <c r="D84" s="9"/>
    </row>
  </sheetData>
  <mergeCells count="11">
    <mergeCell ref="A28:A33"/>
    <mergeCell ref="A1:D1"/>
    <mergeCell ref="F1:M1"/>
    <mergeCell ref="A3:A5"/>
    <mergeCell ref="A7:A8"/>
    <mergeCell ref="A23:A27"/>
    <mergeCell ref="A35:A45"/>
    <mergeCell ref="A46:A68"/>
    <mergeCell ref="B46:B49"/>
    <mergeCell ref="B50:B64"/>
    <mergeCell ref="B65:B6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E4162-A15B-45EF-97C7-A3E2AF8BE5A0}">
  <dimension ref="A1:CG19"/>
  <sheetViews>
    <sheetView topLeftCell="A5" workbookViewId="0">
      <selection activeCell="G17" sqref="G17"/>
    </sheetView>
  </sheetViews>
  <sheetFormatPr defaultRowHeight="14.5"/>
  <cols>
    <col min="4" max="4" width="19.36328125" customWidth="1"/>
    <col min="6" max="6" width="12.6328125" customWidth="1"/>
    <col min="7" max="7" width="13" customWidth="1"/>
    <col min="8" max="8" width="12.6328125" customWidth="1"/>
    <col min="9" max="9" width="15.81640625" customWidth="1"/>
    <col min="10" max="10" width="14" customWidth="1"/>
    <col min="13" max="13" width="12.453125" customWidth="1"/>
    <col min="47" max="47" width="10.26953125" customWidth="1"/>
    <col min="48" max="48" width="12.453125" customWidth="1"/>
    <col min="49" max="49" width="35.36328125" customWidth="1"/>
    <col min="50" max="50" width="14" customWidth="1"/>
    <col min="51" max="51" width="12.81640625" customWidth="1"/>
    <col min="52" max="52" width="11.453125" customWidth="1"/>
  </cols>
  <sheetData>
    <row r="1" spans="1:85">
      <c r="A1" s="219" t="s">
        <v>88</v>
      </c>
      <c r="B1" s="220" t="s">
        <v>8</v>
      </c>
      <c r="C1" s="220" t="s">
        <v>9</v>
      </c>
      <c r="D1" s="221" t="s">
        <v>89</v>
      </c>
      <c r="E1" s="220" t="s">
        <v>90</v>
      </c>
      <c r="F1" s="222" t="s">
        <v>231</v>
      </c>
      <c r="G1" s="220" t="s">
        <v>91</v>
      </c>
      <c r="H1" s="220" t="s">
        <v>92</v>
      </c>
      <c r="I1" s="223" t="s">
        <v>93</v>
      </c>
      <c r="J1" s="220" t="s">
        <v>133</v>
      </c>
      <c r="K1" s="220" t="s">
        <v>95</v>
      </c>
      <c r="L1" s="220" t="s">
        <v>96</v>
      </c>
      <c r="M1" s="224" t="s">
        <v>232</v>
      </c>
      <c r="N1" s="220" t="s">
        <v>98</v>
      </c>
      <c r="O1" s="220" t="s">
        <v>99</v>
      </c>
      <c r="P1" s="375" t="s">
        <v>100</v>
      </c>
      <c r="Q1" s="372"/>
      <c r="R1" s="372"/>
      <c r="S1" s="372"/>
      <c r="T1" s="373"/>
      <c r="U1" s="376" t="s">
        <v>20</v>
      </c>
      <c r="V1" s="372"/>
      <c r="W1" s="372"/>
      <c r="X1" s="372"/>
      <c r="Y1" s="373"/>
      <c r="Z1" s="377" t="s">
        <v>101</v>
      </c>
      <c r="AA1" s="372"/>
      <c r="AB1" s="373"/>
      <c r="AC1" s="378" t="s">
        <v>102</v>
      </c>
      <c r="AD1" s="372"/>
      <c r="AE1" s="373"/>
      <c r="AF1" s="379" t="s">
        <v>103</v>
      </c>
      <c r="AG1" s="372"/>
      <c r="AH1" s="373"/>
      <c r="AI1" s="380" t="s">
        <v>104</v>
      </c>
      <c r="AJ1" s="372"/>
      <c r="AK1" s="373"/>
      <c r="AL1" s="371" t="s">
        <v>105</v>
      </c>
      <c r="AM1" s="372"/>
      <c r="AN1" s="373"/>
      <c r="AO1" s="371" t="s">
        <v>106</v>
      </c>
      <c r="AP1" s="372"/>
      <c r="AQ1" s="373"/>
      <c r="AR1" s="371" t="s">
        <v>233</v>
      </c>
      <c r="AS1" s="372"/>
      <c r="AT1" s="373"/>
      <c r="AU1" s="220" t="s">
        <v>107</v>
      </c>
      <c r="AV1" s="220" t="s">
        <v>108</v>
      </c>
      <c r="AW1" s="225" t="s">
        <v>109</v>
      </c>
      <c r="AX1" s="226" t="s">
        <v>234</v>
      </c>
      <c r="AY1" s="220" t="s">
        <v>111</v>
      </c>
      <c r="AZ1" s="227" t="s">
        <v>235</v>
      </c>
      <c r="BA1" s="374" t="s">
        <v>136</v>
      </c>
    </row>
    <row r="2" spans="1:85">
      <c r="A2" s="228"/>
      <c r="B2" s="229"/>
      <c r="C2" s="229"/>
      <c r="D2" s="230"/>
      <c r="E2" s="229"/>
      <c r="F2" s="229"/>
      <c r="G2" s="231">
        <f>SUM(G4:G19)</f>
        <v>61200000</v>
      </c>
      <c r="H2" s="231">
        <f t="shared" ref="H2:AX2" si="0">SUM(H4:H19)</f>
        <v>57600000</v>
      </c>
      <c r="I2" s="231">
        <f t="shared" si="0"/>
        <v>57600000</v>
      </c>
      <c r="J2" s="231">
        <f t="shared" si="0"/>
        <v>4100000</v>
      </c>
      <c r="K2" s="231">
        <f t="shared" si="0"/>
        <v>480</v>
      </c>
      <c r="L2" s="231">
        <f t="shared" si="0"/>
        <v>480</v>
      </c>
      <c r="M2" s="231">
        <f t="shared" si="0"/>
        <v>0</v>
      </c>
      <c r="N2" s="231">
        <f t="shared" si="0"/>
        <v>0</v>
      </c>
      <c r="O2" s="231">
        <f t="shared" si="0"/>
        <v>25</v>
      </c>
      <c r="P2" s="231">
        <f t="shared" si="0"/>
        <v>118</v>
      </c>
      <c r="Q2" s="231">
        <f t="shared" si="0"/>
        <v>567</v>
      </c>
      <c r="R2" s="231">
        <f t="shared" si="0"/>
        <v>1089</v>
      </c>
      <c r="S2" s="231">
        <f t="shared" si="0"/>
        <v>63500</v>
      </c>
      <c r="T2" s="231">
        <f t="shared" si="0"/>
        <v>4036000</v>
      </c>
      <c r="U2" s="231">
        <f t="shared" si="0"/>
        <v>0</v>
      </c>
      <c r="V2" s="231">
        <f t="shared" si="0"/>
        <v>0</v>
      </c>
      <c r="W2" s="231">
        <f t="shared" si="0"/>
        <v>25</v>
      </c>
      <c r="X2" s="231">
        <f t="shared" si="0"/>
        <v>1800000</v>
      </c>
      <c r="Y2" s="231">
        <f t="shared" si="0"/>
        <v>3000000</v>
      </c>
      <c r="Z2" s="231">
        <f t="shared" si="0"/>
        <v>0</v>
      </c>
      <c r="AA2" s="231">
        <f t="shared" si="0"/>
        <v>0</v>
      </c>
      <c r="AB2" s="231">
        <f t="shared" si="0"/>
        <v>0</v>
      </c>
      <c r="AC2" s="231">
        <f t="shared" si="0"/>
        <v>11</v>
      </c>
      <c r="AD2" s="231">
        <f t="shared" si="0"/>
        <v>1500000</v>
      </c>
      <c r="AE2" s="231">
        <f t="shared" si="0"/>
        <v>1100000</v>
      </c>
      <c r="AF2" s="231">
        <f t="shared" si="0"/>
        <v>24</v>
      </c>
      <c r="AG2" s="231">
        <f t="shared" si="0"/>
        <v>900000</v>
      </c>
      <c r="AH2" s="231">
        <f t="shared" si="0"/>
        <v>1440000</v>
      </c>
      <c r="AI2" s="231">
        <f t="shared" si="0"/>
        <v>3</v>
      </c>
      <c r="AJ2" s="231">
        <f t="shared" si="0"/>
        <v>700000</v>
      </c>
      <c r="AK2" s="231">
        <f t="shared" si="0"/>
        <v>700000</v>
      </c>
      <c r="AL2" s="231">
        <f t="shared" si="0"/>
        <v>0</v>
      </c>
      <c r="AM2" s="231">
        <f t="shared" si="0"/>
        <v>0</v>
      </c>
      <c r="AN2" s="231">
        <f t="shared" si="0"/>
        <v>0</v>
      </c>
      <c r="AO2" s="231">
        <f t="shared" si="0"/>
        <v>25</v>
      </c>
      <c r="AP2" s="231">
        <f t="shared" si="0"/>
        <v>1800000</v>
      </c>
      <c r="AQ2" s="231">
        <f t="shared" si="0"/>
        <v>3000000</v>
      </c>
      <c r="AR2" s="231">
        <f t="shared" si="0"/>
        <v>34</v>
      </c>
      <c r="AS2" s="231">
        <f t="shared" si="0"/>
        <v>8000</v>
      </c>
      <c r="AT2" s="231">
        <f t="shared" si="0"/>
        <v>136000</v>
      </c>
      <c r="AU2" s="231">
        <f>SUM(AU4:AU19)</f>
        <v>13412000</v>
      </c>
      <c r="AV2" s="231">
        <f>SUM(AV4:AV19)</f>
        <v>75112000</v>
      </c>
      <c r="AW2" s="231">
        <f t="shared" si="0"/>
        <v>0</v>
      </c>
      <c r="AX2" s="231">
        <f t="shared" si="0"/>
        <v>71112000</v>
      </c>
      <c r="AY2" s="229"/>
      <c r="AZ2" s="232"/>
      <c r="BA2" s="374"/>
    </row>
    <row r="3" spans="1:85">
      <c r="A3" s="233"/>
      <c r="B3" s="233"/>
      <c r="C3" s="233"/>
      <c r="D3" s="234"/>
      <c r="E3" s="233"/>
      <c r="F3" s="233"/>
      <c r="G3" s="233"/>
      <c r="H3" s="233"/>
      <c r="I3" s="235"/>
      <c r="J3" s="233"/>
      <c r="K3" s="233"/>
      <c r="L3" s="233"/>
      <c r="M3" s="236" t="s">
        <v>236</v>
      </c>
      <c r="N3" s="233" t="s">
        <v>237</v>
      </c>
      <c r="O3" s="233"/>
      <c r="P3" s="237" t="s">
        <v>121</v>
      </c>
      <c r="Q3" s="237" t="s">
        <v>122</v>
      </c>
      <c r="R3" s="233" t="s">
        <v>123</v>
      </c>
      <c r="S3" s="233" t="s">
        <v>124</v>
      </c>
      <c r="T3" s="238" t="s">
        <v>125</v>
      </c>
      <c r="U3" s="237" t="s">
        <v>121</v>
      </c>
      <c r="V3" s="237" t="s">
        <v>126</v>
      </c>
      <c r="W3" s="233" t="s">
        <v>123</v>
      </c>
      <c r="X3" s="233" t="s">
        <v>124</v>
      </c>
      <c r="Y3" s="237" t="s">
        <v>125</v>
      </c>
      <c r="Z3" s="239" t="s">
        <v>123</v>
      </c>
      <c r="AA3" s="233" t="s">
        <v>124</v>
      </c>
      <c r="AB3" s="238" t="s">
        <v>125</v>
      </c>
      <c r="AC3" s="239" t="s">
        <v>123</v>
      </c>
      <c r="AD3" s="233" t="s">
        <v>124</v>
      </c>
      <c r="AE3" s="238" t="s">
        <v>125</v>
      </c>
      <c r="AF3" s="233" t="s">
        <v>123</v>
      </c>
      <c r="AG3" s="233" t="s">
        <v>124</v>
      </c>
      <c r="AH3" s="238" t="s">
        <v>125</v>
      </c>
      <c r="AI3" s="233" t="s">
        <v>123</v>
      </c>
      <c r="AJ3" s="233" t="s">
        <v>124</v>
      </c>
      <c r="AK3" s="238" t="s">
        <v>125</v>
      </c>
      <c r="AL3" s="233" t="s">
        <v>123</v>
      </c>
      <c r="AM3" s="233" t="s">
        <v>124</v>
      </c>
      <c r="AN3" s="238" t="s">
        <v>125</v>
      </c>
      <c r="AO3" s="233" t="s">
        <v>123</v>
      </c>
      <c r="AP3" s="233" t="s">
        <v>124</v>
      </c>
      <c r="AQ3" s="238" t="s">
        <v>125</v>
      </c>
      <c r="AR3" s="238" t="s">
        <v>123</v>
      </c>
      <c r="AS3" s="238" t="s">
        <v>124</v>
      </c>
      <c r="AT3" s="238" t="s">
        <v>125</v>
      </c>
      <c r="AU3" s="233"/>
      <c r="AV3" s="240"/>
      <c r="AW3" s="233"/>
      <c r="AX3" s="241"/>
      <c r="AY3" s="242">
        <f>AX3-AV3</f>
        <v>0</v>
      </c>
      <c r="AZ3" s="243"/>
      <c r="BA3" s="244"/>
    </row>
    <row r="4" spans="1:85" ht="19.5" customHeight="1">
      <c r="A4" s="246" t="s">
        <v>248</v>
      </c>
      <c r="B4" s="247" t="s">
        <v>144</v>
      </c>
      <c r="C4" s="248">
        <v>0</v>
      </c>
      <c r="D4" s="249" t="s">
        <v>238</v>
      </c>
      <c r="E4" s="248">
        <v>1</v>
      </c>
      <c r="F4" s="250"/>
      <c r="G4" s="250"/>
      <c r="H4" s="250"/>
      <c r="I4" s="250"/>
      <c r="J4" s="251"/>
      <c r="K4" s="248">
        <v>30</v>
      </c>
      <c r="L4" s="248">
        <v>30</v>
      </c>
      <c r="M4" s="252"/>
      <c r="N4" s="253"/>
      <c r="O4" s="254"/>
      <c r="P4" s="248"/>
      <c r="Q4" s="248"/>
      <c r="R4" s="248">
        <v>640</v>
      </c>
      <c r="S4" s="253">
        <v>3500</v>
      </c>
      <c r="T4" s="253">
        <f t="shared" ref="T4:T19" si="1">R4*S4</f>
        <v>2240000</v>
      </c>
      <c r="U4" s="248"/>
      <c r="V4" s="248"/>
      <c r="W4" s="254"/>
      <c r="X4" s="248"/>
      <c r="Y4" s="248"/>
      <c r="Z4" s="254"/>
      <c r="AA4" s="248"/>
      <c r="AB4" s="248"/>
      <c r="AC4" s="247"/>
      <c r="AD4" s="248"/>
      <c r="AE4" s="248"/>
      <c r="AF4" s="248"/>
      <c r="AG4" s="248"/>
      <c r="AH4" s="248"/>
      <c r="AI4" s="248"/>
      <c r="AJ4" s="248"/>
      <c r="AK4" s="248"/>
      <c r="AL4" s="254"/>
      <c r="AM4" s="248"/>
      <c r="AN4" s="255"/>
      <c r="AO4" s="248"/>
      <c r="AP4" s="248"/>
      <c r="AQ4" s="256"/>
      <c r="AR4" s="248"/>
      <c r="AS4" s="248"/>
      <c r="AT4" s="256"/>
      <c r="AU4" s="257">
        <f t="shared" ref="AU4:AU19" si="2">(SUM(T4,Y4,AB4,AE4,AH4,AK4,AN4,AQ4,AT4))</f>
        <v>2240000</v>
      </c>
      <c r="AV4" s="258">
        <f t="shared" ref="AV4:AV19" si="3">AU4+I4*E4+J4+M4+N4</f>
        <v>2240000</v>
      </c>
      <c r="AW4" s="248" t="s">
        <v>249</v>
      </c>
      <c r="AX4" s="259">
        <f>1940000+300000</f>
        <v>2240000</v>
      </c>
      <c r="AY4" s="260" t="str">
        <f t="shared" ref="AY4:AY19" si="4">IF(AND(AV4&gt;0,AX4=0),"Chưa TT",IF(AX4-AV4&gt;0,"Thừa",IF(AND(AV4=0,AX4=0),"Trống",IF(AND(AX4&gt;0,AV4=0),"Đóng cọc",IF(AX4-AV4&lt;0,"Thiếu",IF(AX4-AV4=0,"Đủ",0))))))</f>
        <v>Đủ</v>
      </c>
      <c r="AZ4" s="261">
        <f t="shared" ref="AZ4:AZ19" si="5">AX4-AV4</f>
        <v>0</v>
      </c>
      <c r="BA4" s="262"/>
      <c r="BB4" s="253"/>
      <c r="BC4" s="248"/>
      <c r="BD4" s="248"/>
      <c r="BE4" s="248"/>
      <c r="BF4" s="248"/>
      <c r="BG4" s="248"/>
      <c r="BH4" s="248"/>
      <c r="BI4" s="248"/>
      <c r="BJ4" s="248"/>
      <c r="BK4" s="248"/>
      <c r="BL4" s="253"/>
      <c r="BM4" s="248"/>
      <c r="BN4" s="248"/>
      <c r="BO4" s="248"/>
      <c r="BP4" s="248"/>
      <c r="BQ4" s="248"/>
      <c r="BR4" s="248"/>
      <c r="BS4" s="263"/>
      <c r="BT4" s="248"/>
      <c r="BU4" s="263"/>
      <c r="BV4" s="248"/>
      <c r="BW4" s="248"/>
      <c r="BX4" s="248"/>
      <c r="BY4" s="248"/>
      <c r="BZ4" s="248"/>
      <c r="CA4" s="248"/>
      <c r="CB4" s="248"/>
      <c r="CC4" s="248"/>
      <c r="CD4" s="248"/>
      <c r="CE4" s="248"/>
      <c r="CF4" s="248"/>
      <c r="CG4" s="248"/>
    </row>
    <row r="5" spans="1:85" ht="19.5" customHeight="1">
      <c r="A5" s="264" t="s">
        <v>37</v>
      </c>
      <c r="B5" s="264" t="s">
        <v>144</v>
      </c>
      <c r="C5" s="249">
        <v>101</v>
      </c>
      <c r="D5" s="249" t="s">
        <v>238</v>
      </c>
      <c r="E5" s="249">
        <v>1</v>
      </c>
      <c r="F5" s="265">
        <v>3600000</v>
      </c>
      <c r="G5" s="266">
        <v>3600000</v>
      </c>
      <c r="H5" s="265">
        <v>3600000</v>
      </c>
      <c r="I5" s="265">
        <v>3600000</v>
      </c>
      <c r="J5" s="267"/>
      <c r="K5" s="249">
        <v>30</v>
      </c>
      <c r="L5" s="249">
        <v>30</v>
      </c>
      <c r="M5" s="268"/>
      <c r="N5" s="269"/>
      <c r="O5" s="270">
        <v>1</v>
      </c>
      <c r="P5" s="249">
        <v>5</v>
      </c>
      <c r="Q5" s="249">
        <v>38</v>
      </c>
      <c r="R5" s="249">
        <f t="shared" ref="R5:R19" si="6">Q5-P5</f>
        <v>33</v>
      </c>
      <c r="S5" s="269">
        <v>4000</v>
      </c>
      <c r="T5" s="269">
        <f t="shared" si="1"/>
        <v>132000</v>
      </c>
      <c r="U5" s="249"/>
      <c r="V5" s="249"/>
      <c r="W5" s="270">
        <v>1</v>
      </c>
      <c r="X5" s="249">
        <v>120000</v>
      </c>
      <c r="Y5" s="249">
        <f t="shared" ref="Y5:Y19" si="7">W5*X5</f>
        <v>120000</v>
      </c>
      <c r="Z5" s="270"/>
      <c r="AA5" s="249"/>
      <c r="AB5" s="249"/>
      <c r="AC5" s="264">
        <v>1</v>
      </c>
      <c r="AD5" s="249">
        <v>100000</v>
      </c>
      <c r="AE5" s="249">
        <f t="shared" ref="AE5:AE19" si="8">AC5*AD5</f>
        <v>100000</v>
      </c>
      <c r="AF5" s="249">
        <v>1</v>
      </c>
      <c r="AG5" s="249">
        <v>60000</v>
      </c>
      <c r="AH5" s="249">
        <f t="shared" ref="AH5:AH19" si="9">AF5*AG5</f>
        <v>60000</v>
      </c>
      <c r="AI5" s="249"/>
      <c r="AJ5" s="249"/>
      <c r="AK5" s="249"/>
      <c r="AL5" s="270"/>
      <c r="AM5" s="249"/>
      <c r="AN5" s="271"/>
      <c r="AO5" s="249">
        <v>1</v>
      </c>
      <c r="AP5" s="249">
        <v>120000</v>
      </c>
      <c r="AQ5" s="249">
        <f t="shared" ref="AQ5:AQ19" si="10">AO5*AP5</f>
        <v>120000</v>
      </c>
      <c r="AR5" s="248"/>
      <c r="AS5" s="248"/>
      <c r="AT5" s="248">
        <f t="shared" ref="AT5:AT19" si="11">AR5*AS5</f>
        <v>0</v>
      </c>
      <c r="AU5" s="257">
        <f t="shared" si="2"/>
        <v>532000</v>
      </c>
      <c r="AV5" s="258">
        <f t="shared" si="3"/>
        <v>4132000</v>
      </c>
      <c r="AW5" s="249" t="s">
        <v>250</v>
      </c>
      <c r="AX5" s="245">
        <v>132000</v>
      </c>
      <c r="AY5" s="260" t="str">
        <f t="shared" si="4"/>
        <v>Thiếu</v>
      </c>
      <c r="AZ5" s="261">
        <f t="shared" si="5"/>
        <v>-4000000</v>
      </c>
      <c r="BA5" s="272"/>
      <c r="BB5" s="269"/>
      <c r="BC5" s="249"/>
      <c r="BD5" s="249"/>
      <c r="BE5" s="249"/>
      <c r="BF5" s="249"/>
      <c r="BG5" s="249"/>
      <c r="BH5" s="249"/>
      <c r="BI5" s="249"/>
      <c r="BJ5" s="249"/>
      <c r="BK5" s="249"/>
      <c r="BL5" s="269"/>
      <c r="BM5" s="249"/>
      <c r="BN5" s="249"/>
      <c r="BO5" s="249"/>
      <c r="BP5" s="249"/>
      <c r="BQ5" s="249"/>
      <c r="BR5" s="249"/>
      <c r="BS5" s="273"/>
      <c r="BT5" s="249"/>
      <c r="BU5" s="273"/>
      <c r="BV5" s="249"/>
      <c r="BW5" s="249"/>
      <c r="BX5" s="249"/>
      <c r="BY5" s="249"/>
      <c r="BZ5" s="249"/>
      <c r="CA5" s="249"/>
      <c r="CB5" s="249"/>
      <c r="CC5" s="249"/>
      <c r="CD5" s="249"/>
      <c r="CE5" s="249"/>
      <c r="CF5" s="249"/>
      <c r="CG5" s="249"/>
    </row>
    <row r="6" spans="1:85" ht="17.25" customHeight="1">
      <c r="A6" s="264" t="s">
        <v>38</v>
      </c>
      <c r="B6" s="264" t="s">
        <v>144</v>
      </c>
      <c r="C6" s="249">
        <v>201</v>
      </c>
      <c r="D6" s="249" t="s">
        <v>238</v>
      </c>
      <c r="E6" s="249">
        <v>1</v>
      </c>
      <c r="F6" s="269">
        <v>4100000</v>
      </c>
      <c r="G6" s="266">
        <v>4200000</v>
      </c>
      <c r="H6" s="269">
        <v>4100000</v>
      </c>
      <c r="I6" s="269">
        <v>4100000</v>
      </c>
      <c r="J6" s="269">
        <v>4100000</v>
      </c>
      <c r="K6" s="249">
        <v>30</v>
      </c>
      <c r="L6" s="249">
        <v>30</v>
      </c>
      <c r="M6" s="268"/>
      <c r="N6" s="269"/>
      <c r="O6" s="264">
        <v>2</v>
      </c>
      <c r="P6" s="249">
        <v>33</v>
      </c>
      <c r="Q6" s="249">
        <v>33</v>
      </c>
      <c r="R6" s="249">
        <f t="shared" si="6"/>
        <v>0</v>
      </c>
      <c r="S6" s="269">
        <v>4000</v>
      </c>
      <c r="T6" s="269">
        <f t="shared" si="1"/>
        <v>0</v>
      </c>
      <c r="U6" s="249"/>
      <c r="V6" s="249"/>
      <c r="W6" s="270">
        <v>2</v>
      </c>
      <c r="X6" s="249">
        <v>120000</v>
      </c>
      <c r="Y6" s="249">
        <f t="shared" si="7"/>
        <v>240000</v>
      </c>
      <c r="Z6" s="264"/>
      <c r="AA6" s="249"/>
      <c r="AB6" s="249"/>
      <c r="AC6" s="249">
        <v>1</v>
      </c>
      <c r="AD6" s="249">
        <v>100000</v>
      </c>
      <c r="AE6" s="249">
        <f t="shared" si="8"/>
        <v>100000</v>
      </c>
      <c r="AF6" s="249">
        <v>2</v>
      </c>
      <c r="AG6" s="249">
        <v>60000</v>
      </c>
      <c r="AH6" s="249">
        <f t="shared" si="9"/>
        <v>120000</v>
      </c>
      <c r="AI6" s="249">
        <v>1</v>
      </c>
      <c r="AJ6" s="249">
        <v>150000</v>
      </c>
      <c r="AK6" s="249">
        <f>AI6*AJ6</f>
        <v>150000</v>
      </c>
      <c r="AL6" s="264"/>
      <c r="AM6" s="249"/>
      <c r="AN6" s="271"/>
      <c r="AO6" s="249">
        <v>2</v>
      </c>
      <c r="AP6" s="249">
        <v>120000</v>
      </c>
      <c r="AQ6" s="269">
        <f t="shared" si="10"/>
        <v>240000</v>
      </c>
      <c r="AR6" s="253"/>
      <c r="AS6" s="253"/>
      <c r="AT6" s="248">
        <f t="shared" si="11"/>
        <v>0</v>
      </c>
      <c r="AU6" s="257">
        <f t="shared" si="2"/>
        <v>850000</v>
      </c>
      <c r="AV6" s="258">
        <f t="shared" si="3"/>
        <v>9050000</v>
      </c>
      <c r="AW6" s="249" t="s">
        <v>251</v>
      </c>
      <c r="AX6" s="245">
        <f>4100000+4950000</f>
        <v>9050000</v>
      </c>
      <c r="AY6" s="260" t="str">
        <f t="shared" si="4"/>
        <v>Đủ</v>
      </c>
      <c r="AZ6" s="261">
        <f t="shared" si="5"/>
        <v>0</v>
      </c>
      <c r="BA6" s="272"/>
      <c r="BB6" s="269"/>
      <c r="BC6" s="249"/>
      <c r="BD6" s="249"/>
      <c r="BE6" s="249"/>
      <c r="BF6" s="249"/>
      <c r="BG6" s="249"/>
      <c r="BH6" s="249"/>
      <c r="BI6" s="249"/>
      <c r="BJ6" s="249"/>
      <c r="BK6" s="249"/>
      <c r="BL6" s="269"/>
      <c r="BM6" s="249"/>
      <c r="BN6" s="249"/>
      <c r="BO6" s="249"/>
      <c r="BP6" s="249"/>
      <c r="BQ6" s="249"/>
      <c r="BR6" s="249"/>
      <c r="BS6" s="273"/>
      <c r="BT6" s="249"/>
      <c r="BU6" s="273"/>
      <c r="BV6" s="249"/>
      <c r="BW6" s="249"/>
      <c r="BX6" s="249"/>
      <c r="BY6" s="249"/>
      <c r="BZ6" s="249"/>
      <c r="CA6" s="249">
        <v>1935</v>
      </c>
      <c r="CB6" s="249">
        <v>1967</v>
      </c>
      <c r="CC6" s="249">
        <f t="shared" ref="CC6:CC10" si="12">CB6-CA6</f>
        <v>32</v>
      </c>
      <c r="CD6" s="249">
        <v>3800</v>
      </c>
      <c r="CE6" s="249">
        <f t="shared" ref="CE6:CE10" si="13">CC6*CD6</f>
        <v>121600</v>
      </c>
      <c r="CF6" s="249"/>
      <c r="CG6" s="249">
        <f t="shared" ref="CG6:CG10" si="14">CE6/3</f>
        <v>40533.333333333336</v>
      </c>
    </row>
    <row r="7" spans="1:85" ht="17.25" customHeight="1">
      <c r="A7" s="264" t="s">
        <v>39</v>
      </c>
      <c r="B7" s="264" t="s">
        <v>144</v>
      </c>
      <c r="C7" s="249">
        <v>202</v>
      </c>
      <c r="D7" s="249" t="s">
        <v>238</v>
      </c>
      <c r="E7" s="249">
        <v>1</v>
      </c>
      <c r="F7" s="269">
        <v>3800000</v>
      </c>
      <c r="G7" s="266">
        <v>4000000</v>
      </c>
      <c r="H7" s="269">
        <v>3800000</v>
      </c>
      <c r="I7" s="269">
        <v>3800000</v>
      </c>
      <c r="J7" s="269"/>
      <c r="K7" s="249">
        <v>30</v>
      </c>
      <c r="L7" s="249">
        <v>30</v>
      </c>
      <c r="M7" s="268"/>
      <c r="N7" s="269"/>
      <c r="O7" s="264">
        <v>1</v>
      </c>
      <c r="P7" s="249">
        <v>5</v>
      </c>
      <c r="Q7" s="249">
        <v>60</v>
      </c>
      <c r="R7" s="249">
        <f t="shared" si="6"/>
        <v>55</v>
      </c>
      <c r="S7" s="269">
        <v>4000</v>
      </c>
      <c r="T7" s="269">
        <f t="shared" si="1"/>
        <v>220000</v>
      </c>
      <c r="U7" s="249"/>
      <c r="V7" s="249"/>
      <c r="W7" s="270">
        <v>1</v>
      </c>
      <c r="X7" s="249">
        <v>120000</v>
      </c>
      <c r="Y7" s="249">
        <f t="shared" si="7"/>
        <v>120000</v>
      </c>
      <c r="Z7" s="264"/>
      <c r="AA7" s="249"/>
      <c r="AB7" s="249"/>
      <c r="AC7" s="249">
        <v>1</v>
      </c>
      <c r="AD7" s="249">
        <v>100000</v>
      </c>
      <c r="AE7" s="249">
        <f t="shared" si="8"/>
        <v>100000</v>
      </c>
      <c r="AF7" s="249">
        <v>1</v>
      </c>
      <c r="AG7" s="249">
        <v>60000</v>
      </c>
      <c r="AH7" s="249">
        <f t="shared" si="9"/>
        <v>60000</v>
      </c>
      <c r="AI7" s="249"/>
      <c r="AJ7" s="249"/>
      <c r="AK7" s="249"/>
      <c r="AL7" s="264"/>
      <c r="AM7" s="249"/>
      <c r="AN7" s="271">
        <f>AL7*AM7</f>
        <v>0</v>
      </c>
      <c r="AO7" s="249">
        <v>1</v>
      </c>
      <c r="AP7" s="249">
        <v>120000</v>
      </c>
      <c r="AQ7" s="269">
        <f t="shared" si="10"/>
        <v>120000</v>
      </c>
      <c r="AR7" s="253"/>
      <c r="AS7" s="253"/>
      <c r="AT7" s="248">
        <f t="shared" si="11"/>
        <v>0</v>
      </c>
      <c r="AU7" s="257">
        <f t="shared" si="2"/>
        <v>620000</v>
      </c>
      <c r="AV7" s="258">
        <f t="shared" si="3"/>
        <v>4420000</v>
      </c>
      <c r="AW7" s="271"/>
      <c r="AX7" s="245">
        <v>4420000</v>
      </c>
      <c r="AY7" s="260" t="str">
        <f t="shared" si="4"/>
        <v>Đủ</v>
      </c>
      <c r="AZ7" s="261">
        <f t="shared" si="5"/>
        <v>0</v>
      </c>
      <c r="BA7" s="272"/>
      <c r="BB7" s="269"/>
      <c r="BC7" s="249"/>
      <c r="BD7" s="249"/>
      <c r="BE7" s="249"/>
      <c r="BF7" s="249"/>
      <c r="BG7" s="249"/>
      <c r="BH7" s="249"/>
      <c r="BI7" s="249"/>
      <c r="BJ7" s="249"/>
      <c r="BK7" s="249"/>
      <c r="BL7" s="269"/>
      <c r="BM7" s="249"/>
      <c r="BN7" s="249"/>
      <c r="BO7" s="249"/>
      <c r="BP7" s="249"/>
      <c r="BQ7" s="249"/>
      <c r="BR7" s="249"/>
      <c r="BS7" s="273"/>
      <c r="BT7" s="249"/>
      <c r="BU7" s="273"/>
      <c r="BV7" s="249"/>
      <c r="BW7" s="249"/>
      <c r="BX7" s="249"/>
      <c r="BY7" s="249"/>
      <c r="BZ7" s="249"/>
      <c r="CA7" s="249">
        <v>1935</v>
      </c>
      <c r="CB7" s="249">
        <v>1967</v>
      </c>
      <c r="CC7" s="249">
        <f t="shared" si="12"/>
        <v>32</v>
      </c>
      <c r="CD7" s="249">
        <v>3800</v>
      </c>
      <c r="CE7" s="249">
        <f t="shared" si="13"/>
        <v>121600</v>
      </c>
      <c r="CF7" s="249"/>
      <c r="CG7" s="249">
        <f t="shared" si="14"/>
        <v>40533.333333333336</v>
      </c>
    </row>
    <row r="8" spans="1:85" ht="18" customHeight="1">
      <c r="A8" s="264" t="s">
        <v>40</v>
      </c>
      <c r="B8" s="264" t="s">
        <v>144</v>
      </c>
      <c r="C8" s="249">
        <v>203</v>
      </c>
      <c r="D8" s="249" t="s">
        <v>238</v>
      </c>
      <c r="E8" s="249">
        <v>1</v>
      </c>
      <c r="F8" s="269">
        <v>3800000</v>
      </c>
      <c r="G8" s="266">
        <v>4300000</v>
      </c>
      <c r="H8" s="269">
        <v>3800000</v>
      </c>
      <c r="I8" s="269">
        <v>3800000</v>
      </c>
      <c r="J8" s="269"/>
      <c r="K8" s="249">
        <v>30</v>
      </c>
      <c r="L8" s="249">
        <v>30</v>
      </c>
      <c r="M8" s="268"/>
      <c r="N8" s="269"/>
      <c r="O8" s="264">
        <v>1</v>
      </c>
      <c r="P8" s="249">
        <v>5</v>
      </c>
      <c r="Q8" s="249">
        <v>5</v>
      </c>
      <c r="R8" s="249">
        <f t="shared" si="6"/>
        <v>0</v>
      </c>
      <c r="S8" s="269">
        <v>4000</v>
      </c>
      <c r="T8" s="269">
        <f t="shared" si="1"/>
        <v>0</v>
      </c>
      <c r="U8" s="249"/>
      <c r="V8" s="249"/>
      <c r="W8" s="270">
        <v>1</v>
      </c>
      <c r="X8" s="249">
        <v>120000</v>
      </c>
      <c r="Y8" s="249">
        <f t="shared" si="7"/>
        <v>120000</v>
      </c>
      <c r="Z8" s="264"/>
      <c r="AA8" s="249"/>
      <c r="AB8" s="249"/>
      <c r="AC8" s="249"/>
      <c r="AD8" s="249">
        <v>100000</v>
      </c>
      <c r="AE8" s="249">
        <f t="shared" si="8"/>
        <v>0</v>
      </c>
      <c r="AF8" s="249"/>
      <c r="AG8" s="249">
        <v>60000</v>
      </c>
      <c r="AH8" s="249">
        <f t="shared" si="9"/>
        <v>0</v>
      </c>
      <c r="AI8" s="249"/>
      <c r="AJ8" s="249"/>
      <c r="AK8" s="249"/>
      <c r="AL8" s="264"/>
      <c r="AM8" s="249"/>
      <c r="AN8" s="271"/>
      <c r="AO8" s="249">
        <v>1</v>
      </c>
      <c r="AP8" s="249">
        <v>120000</v>
      </c>
      <c r="AQ8" s="269">
        <f t="shared" si="10"/>
        <v>120000</v>
      </c>
      <c r="AR8" s="253"/>
      <c r="AS8" s="253"/>
      <c r="AT8" s="248">
        <f t="shared" si="11"/>
        <v>0</v>
      </c>
      <c r="AU8" s="257">
        <f t="shared" si="2"/>
        <v>240000</v>
      </c>
      <c r="AV8" s="258">
        <f t="shared" si="3"/>
        <v>4040000</v>
      </c>
      <c r="AW8" s="271"/>
      <c r="AX8" s="245">
        <v>4040000</v>
      </c>
      <c r="AY8" s="260" t="str">
        <f t="shared" si="4"/>
        <v>Đủ</v>
      </c>
      <c r="AZ8" s="261">
        <f t="shared" si="5"/>
        <v>0</v>
      </c>
      <c r="BA8" s="272"/>
      <c r="BB8" s="269"/>
      <c r="BC8" s="249"/>
      <c r="BD8" s="249"/>
      <c r="BE8" s="249"/>
      <c r="BF8" s="249"/>
      <c r="BG8" s="249"/>
      <c r="BH8" s="249"/>
      <c r="BI8" s="249"/>
      <c r="BJ8" s="249"/>
      <c r="BK8" s="249"/>
      <c r="BL8" s="269"/>
      <c r="BM8" s="249"/>
      <c r="BN8" s="249"/>
      <c r="BO8" s="249"/>
      <c r="BP8" s="249"/>
      <c r="BQ8" s="249"/>
      <c r="BR8" s="249"/>
      <c r="BS8" s="273"/>
      <c r="BT8" s="249"/>
      <c r="BU8" s="273"/>
      <c r="BV8" s="249"/>
      <c r="BW8" s="249"/>
      <c r="BX8" s="249"/>
      <c r="BY8" s="249"/>
      <c r="BZ8" s="249"/>
      <c r="CA8" s="249">
        <v>144</v>
      </c>
      <c r="CB8" s="249">
        <v>209</v>
      </c>
      <c r="CC8" s="249">
        <f t="shared" si="12"/>
        <v>65</v>
      </c>
      <c r="CD8" s="249">
        <v>3800</v>
      </c>
      <c r="CE8" s="249">
        <f t="shared" si="13"/>
        <v>247000</v>
      </c>
      <c r="CF8" s="249"/>
      <c r="CG8" s="249">
        <f t="shared" si="14"/>
        <v>82333.333333333328</v>
      </c>
    </row>
    <row r="9" spans="1:85" ht="17.25" customHeight="1">
      <c r="A9" s="264" t="s">
        <v>41</v>
      </c>
      <c r="B9" s="264" t="s">
        <v>144</v>
      </c>
      <c r="C9" s="249">
        <v>301</v>
      </c>
      <c r="D9" s="249" t="s">
        <v>238</v>
      </c>
      <c r="E9" s="249">
        <v>1</v>
      </c>
      <c r="F9" s="269">
        <v>3900000</v>
      </c>
      <c r="G9" s="266">
        <v>4200000</v>
      </c>
      <c r="H9" s="269">
        <v>3900000</v>
      </c>
      <c r="I9" s="269">
        <v>3900000</v>
      </c>
      <c r="J9" s="269"/>
      <c r="K9" s="249">
        <v>30</v>
      </c>
      <c r="L9" s="249">
        <v>30</v>
      </c>
      <c r="M9" s="268"/>
      <c r="N9" s="269"/>
      <c r="O9" s="264">
        <v>1</v>
      </c>
      <c r="P9" s="249">
        <v>4</v>
      </c>
      <c r="Q9" s="249">
        <v>4</v>
      </c>
      <c r="R9" s="249">
        <f t="shared" si="6"/>
        <v>0</v>
      </c>
      <c r="S9" s="269">
        <v>4000</v>
      </c>
      <c r="T9" s="269">
        <f t="shared" si="1"/>
        <v>0</v>
      </c>
      <c r="U9" s="249"/>
      <c r="V9" s="249"/>
      <c r="W9" s="270">
        <v>1</v>
      </c>
      <c r="X9" s="249">
        <v>120000</v>
      </c>
      <c r="Y9" s="249">
        <f t="shared" si="7"/>
        <v>120000</v>
      </c>
      <c r="Z9" s="264"/>
      <c r="AA9" s="249"/>
      <c r="AB9" s="249"/>
      <c r="AC9" s="249">
        <v>1</v>
      </c>
      <c r="AD9" s="249">
        <v>100000</v>
      </c>
      <c r="AE9" s="249">
        <f t="shared" si="8"/>
        <v>100000</v>
      </c>
      <c r="AF9" s="249">
        <v>1</v>
      </c>
      <c r="AG9" s="249">
        <v>60000</v>
      </c>
      <c r="AH9" s="249">
        <f t="shared" si="9"/>
        <v>60000</v>
      </c>
      <c r="AI9" s="249">
        <v>1</v>
      </c>
      <c r="AJ9" s="249">
        <v>150000</v>
      </c>
      <c r="AK9" s="249">
        <f>AI9*AJ9</f>
        <v>150000</v>
      </c>
      <c r="AL9" s="264"/>
      <c r="AM9" s="249"/>
      <c r="AN9" s="271"/>
      <c r="AO9" s="249">
        <v>1</v>
      </c>
      <c r="AP9" s="249">
        <v>120000</v>
      </c>
      <c r="AQ9" s="269">
        <f t="shared" si="10"/>
        <v>120000</v>
      </c>
      <c r="AR9" s="253"/>
      <c r="AS9" s="253"/>
      <c r="AT9" s="248">
        <f t="shared" si="11"/>
        <v>0</v>
      </c>
      <c r="AU9" s="257">
        <f t="shared" si="2"/>
        <v>550000</v>
      </c>
      <c r="AV9" s="258">
        <f t="shared" si="3"/>
        <v>4450000</v>
      </c>
      <c r="AW9" s="249"/>
      <c r="AX9" s="245">
        <v>4450000</v>
      </c>
      <c r="AY9" s="260" t="str">
        <f t="shared" si="4"/>
        <v>Đủ</v>
      </c>
      <c r="AZ9" s="261">
        <f t="shared" si="5"/>
        <v>0</v>
      </c>
      <c r="BA9" s="272"/>
      <c r="BB9" s="269"/>
      <c r="BC9" s="249"/>
      <c r="BD9" s="249"/>
      <c r="BE9" s="249"/>
      <c r="BF9" s="249"/>
      <c r="BG9" s="249"/>
      <c r="BH9" s="249"/>
      <c r="BI9" s="249"/>
      <c r="BJ9" s="249"/>
      <c r="BK9" s="249"/>
      <c r="BL9" s="269"/>
      <c r="BM9" s="249"/>
      <c r="BN9" s="249"/>
      <c r="BO9" s="249"/>
      <c r="BP9" s="249"/>
      <c r="BQ9" s="249"/>
      <c r="BR9" s="249"/>
      <c r="BS9" s="273"/>
      <c r="BT9" s="249"/>
      <c r="BU9" s="273"/>
      <c r="BV9" s="249"/>
      <c r="BW9" s="249"/>
      <c r="BX9" s="249"/>
      <c r="BY9" s="249"/>
      <c r="BZ9" s="249"/>
      <c r="CA9" s="249">
        <v>144</v>
      </c>
      <c r="CB9" s="249">
        <v>209</v>
      </c>
      <c r="CC9" s="249">
        <f t="shared" si="12"/>
        <v>65</v>
      </c>
      <c r="CD9" s="249">
        <v>3800</v>
      </c>
      <c r="CE9" s="249">
        <f t="shared" si="13"/>
        <v>247000</v>
      </c>
      <c r="CF9" s="249"/>
      <c r="CG9" s="249">
        <f t="shared" si="14"/>
        <v>82333.333333333328</v>
      </c>
    </row>
    <row r="10" spans="1:85" ht="15.75" customHeight="1">
      <c r="A10" s="264" t="s">
        <v>42</v>
      </c>
      <c r="B10" s="264" t="s">
        <v>144</v>
      </c>
      <c r="C10" s="249">
        <v>302</v>
      </c>
      <c r="D10" s="249" t="s">
        <v>238</v>
      </c>
      <c r="E10" s="249">
        <v>1</v>
      </c>
      <c r="F10" s="265">
        <v>3800000</v>
      </c>
      <c r="G10" s="266">
        <v>4000000</v>
      </c>
      <c r="H10" s="265">
        <v>3800000</v>
      </c>
      <c r="I10" s="265">
        <v>3800000</v>
      </c>
      <c r="J10" s="267"/>
      <c r="K10" s="249">
        <v>30</v>
      </c>
      <c r="L10" s="249">
        <v>30</v>
      </c>
      <c r="M10" s="268"/>
      <c r="N10" s="269"/>
      <c r="O10" s="264">
        <v>2</v>
      </c>
      <c r="P10" s="249">
        <v>6</v>
      </c>
      <c r="Q10" s="249">
        <v>53</v>
      </c>
      <c r="R10" s="249">
        <f t="shared" si="6"/>
        <v>47</v>
      </c>
      <c r="S10" s="269">
        <v>4000</v>
      </c>
      <c r="T10" s="269">
        <f t="shared" si="1"/>
        <v>188000</v>
      </c>
      <c r="U10" s="249"/>
      <c r="V10" s="249"/>
      <c r="W10" s="270">
        <v>2</v>
      </c>
      <c r="X10" s="249">
        <v>120000</v>
      </c>
      <c r="Y10" s="249">
        <f t="shared" si="7"/>
        <v>240000</v>
      </c>
      <c r="Z10" s="264"/>
      <c r="AA10" s="249"/>
      <c r="AB10" s="249"/>
      <c r="AC10" s="249">
        <v>1</v>
      </c>
      <c r="AD10" s="249">
        <v>100000</v>
      </c>
      <c r="AE10" s="249">
        <f t="shared" si="8"/>
        <v>100000</v>
      </c>
      <c r="AF10" s="249">
        <v>2</v>
      </c>
      <c r="AG10" s="249">
        <v>60000</v>
      </c>
      <c r="AH10" s="249">
        <f t="shared" si="9"/>
        <v>120000</v>
      </c>
      <c r="AI10" s="249"/>
      <c r="AJ10" s="249"/>
      <c r="AK10" s="249"/>
      <c r="AL10" s="264"/>
      <c r="AM10" s="249"/>
      <c r="AN10" s="271"/>
      <c r="AO10" s="249">
        <v>2</v>
      </c>
      <c r="AP10" s="249">
        <v>120000</v>
      </c>
      <c r="AQ10" s="269">
        <f t="shared" si="10"/>
        <v>240000</v>
      </c>
      <c r="AR10" s="253"/>
      <c r="AS10" s="253"/>
      <c r="AT10" s="248">
        <f t="shared" si="11"/>
        <v>0</v>
      </c>
      <c r="AU10" s="257">
        <f t="shared" si="2"/>
        <v>888000</v>
      </c>
      <c r="AV10" s="258">
        <f t="shared" si="3"/>
        <v>4688000</v>
      </c>
      <c r="AW10" s="249"/>
      <c r="AX10" s="245">
        <v>4688000</v>
      </c>
      <c r="AY10" s="260" t="str">
        <f t="shared" si="4"/>
        <v>Đủ</v>
      </c>
      <c r="AZ10" s="261">
        <f t="shared" si="5"/>
        <v>0</v>
      </c>
      <c r="BA10" s="272"/>
      <c r="BB10" s="269"/>
      <c r="BC10" s="249"/>
      <c r="BD10" s="249"/>
      <c r="BE10" s="249"/>
      <c r="BF10" s="249"/>
      <c r="BG10" s="249"/>
      <c r="BH10" s="249"/>
      <c r="BI10" s="249"/>
      <c r="BJ10" s="249"/>
      <c r="BK10" s="249"/>
      <c r="BL10" s="269"/>
      <c r="BM10" s="249"/>
      <c r="BN10" s="249"/>
      <c r="BO10" s="249"/>
      <c r="BP10" s="249"/>
      <c r="BQ10" s="249"/>
      <c r="BR10" s="249"/>
      <c r="BS10" s="273"/>
      <c r="BT10" s="249"/>
      <c r="BU10" s="273"/>
      <c r="BV10" s="249"/>
      <c r="BW10" s="249"/>
      <c r="BX10" s="249"/>
      <c r="BY10" s="249"/>
      <c r="BZ10" s="249"/>
      <c r="CA10" s="249">
        <v>144</v>
      </c>
      <c r="CB10" s="249">
        <v>209</v>
      </c>
      <c r="CC10" s="249">
        <f t="shared" si="12"/>
        <v>65</v>
      </c>
      <c r="CD10" s="249">
        <v>3800</v>
      </c>
      <c r="CE10" s="249">
        <f t="shared" si="13"/>
        <v>247000</v>
      </c>
      <c r="CF10" s="249"/>
      <c r="CG10" s="249">
        <f t="shared" si="14"/>
        <v>82333.333333333328</v>
      </c>
    </row>
    <row r="11" spans="1:85" ht="19.5" customHeight="1">
      <c r="A11" s="264" t="s">
        <v>43</v>
      </c>
      <c r="B11" s="264" t="s">
        <v>144</v>
      </c>
      <c r="C11" s="249">
        <v>303</v>
      </c>
      <c r="D11" s="249" t="s">
        <v>238</v>
      </c>
      <c r="E11" s="249">
        <v>1</v>
      </c>
      <c r="F11" s="265">
        <v>4000000</v>
      </c>
      <c r="G11" s="266">
        <v>4300000</v>
      </c>
      <c r="H11" s="265">
        <v>4000000</v>
      </c>
      <c r="I11" s="265">
        <v>4000000</v>
      </c>
      <c r="J11" s="267"/>
      <c r="K11" s="249">
        <v>30</v>
      </c>
      <c r="L11" s="249">
        <v>30</v>
      </c>
      <c r="M11" s="268"/>
      <c r="N11" s="269"/>
      <c r="O11" s="270">
        <v>3</v>
      </c>
      <c r="P11" s="249">
        <v>3</v>
      </c>
      <c r="Q11" s="249">
        <v>128</v>
      </c>
      <c r="R11" s="249">
        <f t="shared" si="6"/>
        <v>125</v>
      </c>
      <c r="S11" s="269">
        <v>4000</v>
      </c>
      <c r="T11" s="269">
        <f t="shared" si="1"/>
        <v>500000</v>
      </c>
      <c r="U11" s="249"/>
      <c r="V11" s="249"/>
      <c r="W11" s="270">
        <v>3</v>
      </c>
      <c r="X11" s="249">
        <v>120000</v>
      </c>
      <c r="Y11" s="249">
        <f t="shared" si="7"/>
        <v>360000</v>
      </c>
      <c r="Z11" s="270"/>
      <c r="AA11" s="249"/>
      <c r="AB11" s="249">
        <f t="shared" ref="AB11:AB12" si="15">Z11*AA11</f>
        <v>0</v>
      </c>
      <c r="AC11" s="264"/>
      <c r="AD11" s="249">
        <v>100000</v>
      </c>
      <c r="AE11" s="249">
        <f t="shared" si="8"/>
        <v>0</v>
      </c>
      <c r="AF11" s="249">
        <v>3</v>
      </c>
      <c r="AG11" s="249">
        <v>60000</v>
      </c>
      <c r="AH11" s="249">
        <f t="shared" si="9"/>
        <v>180000</v>
      </c>
      <c r="AI11" s="249"/>
      <c r="AJ11" s="249"/>
      <c r="AK11" s="249"/>
      <c r="AL11" s="270"/>
      <c r="AM11" s="249"/>
      <c r="AN11" s="271"/>
      <c r="AO11" s="249">
        <v>3</v>
      </c>
      <c r="AP11" s="249">
        <v>120000</v>
      </c>
      <c r="AQ11" s="249">
        <f t="shared" si="10"/>
        <v>360000</v>
      </c>
      <c r="AR11" s="248"/>
      <c r="AS11" s="248"/>
      <c r="AT11" s="248">
        <f t="shared" si="11"/>
        <v>0</v>
      </c>
      <c r="AU11" s="257">
        <f t="shared" si="2"/>
        <v>1400000</v>
      </c>
      <c r="AV11" s="258">
        <f t="shared" si="3"/>
        <v>5400000</v>
      </c>
      <c r="AW11" s="249"/>
      <c r="AX11" s="245">
        <v>5400000</v>
      </c>
      <c r="AY11" s="260" t="str">
        <f t="shared" si="4"/>
        <v>Đủ</v>
      </c>
      <c r="AZ11" s="261">
        <f t="shared" si="5"/>
        <v>0</v>
      </c>
      <c r="BA11" s="272"/>
      <c r="BB11" s="269"/>
      <c r="BC11" s="249"/>
      <c r="BD11" s="249"/>
      <c r="BE11" s="249"/>
      <c r="BF11" s="249"/>
      <c r="BG11" s="249"/>
      <c r="BH11" s="249"/>
      <c r="BI11" s="249"/>
      <c r="BJ11" s="249"/>
      <c r="BK11" s="249"/>
      <c r="BL11" s="269"/>
      <c r="BM11" s="249"/>
      <c r="BN11" s="249"/>
      <c r="BO11" s="249"/>
      <c r="BP11" s="249"/>
      <c r="BQ11" s="249"/>
      <c r="BR11" s="249"/>
      <c r="BS11" s="273"/>
      <c r="BT11" s="249"/>
      <c r="BU11" s="273"/>
      <c r="BV11" s="249"/>
      <c r="BW11" s="249"/>
      <c r="BX11" s="249"/>
      <c r="BY11" s="249"/>
      <c r="BZ11" s="249"/>
      <c r="CA11" s="249"/>
      <c r="CB11" s="249"/>
      <c r="CC11" s="249"/>
      <c r="CD11" s="249"/>
      <c r="CE11" s="249"/>
      <c r="CF11" s="249"/>
      <c r="CG11" s="249"/>
    </row>
    <row r="12" spans="1:85" ht="21.75" customHeight="1">
      <c r="A12" s="264" t="s">
        <v>44</v>
      </c>
      <c r="B12" s="264" t="s">
        <v>144</v>
      </c>
      <c r="C12" s="249">
        <v>304</v>
      </c>
      <c r="D12" s="249" t="s">
        <v>238</v>
      </c>
      <c r="E12" s="249">
        <v>1</v>
      </c>
      <c r="F12" s="265">
        <v>4100000</v>
      </c>
      <c r="G12" s="266">
        <v>4400000</v>
      </c>
      <c r="H12" s="265">
        <v>4100000</v>
      </c>
      <c r="I12" s="265">
        <v>4100000</v>
      </c>
      <c r="J12" s="267"/>
      <c r="K12" s="274">
        <v>30</v>
      </c>
      <c r="L12" s="249">
        <v>30</v>
      </c>
      <c r="M12" s="268"/>
      <c r="N12" s="269"/>
      <c r="O12" s="275">
        <v>2</v>
      </c>
      <c r="P12" s="249">
        <v>2</v>
      </c>
      <c r="Q12" s="249">
        <v>48</v>
      </c>
      <c r="R12" s="249">
        <f t="shared" si="6"/>
        <v>46</v>
      </c>
      <c r="S12" s="269">
        <v>4000</v>
      </c>
      <c r="T12" s="269">
        <f t="shared" si="1"/>
        <v>184000</v>
      </c>
      <c r="U12" s="249"/>
      <c r="V12" s="249"/>
      <c r="W12" s="270">
        <v>2</v>
      </c>
      <c r="X12" s="249">
        <v>120000</v>
      </c>
      <c r="Y12" s="249">
        <f t="shared" si="7"/>
        <v>240000</v>
      </c>
      <c r="Z12" s="275"/>
      <c r="AA12" s="249"/>
      <c r="AB12" s="249">
        <f t="shared" si="15"/>
        <v>0</v>
      </c>
      <c r="AC12" s="264">
        <v>1</v>
      </c>
      <c r="AD12" s="249">
        <v>100000</v>
      </c>
      <c r="AE12" s="249">
        <f t="shared" si="8"/>
        <v>100000</v>
      </c>
      <c r="AF12" s="249">
        <v>2</v>
      </c>
      <c r="AG12" s="249">
        <v>60000</v>
      </c>
      <c r="AH12" s="249">
        <f t="shared" si="9"/>
        <v>120000</v>
      </c>
      <c r="AI12" s="249"/>
      <c r="AJ12" s="249"/>
      <c r="AK12" s="249"/>
      <c r="AL12" s="275"/>
      <c r="AM12" s="249"/>
      <c r="AN12" s="271"/>
      <c r="AO12" s="249">
        <v>2</v>
      </c>
      <c r="AP12" s="249">
        <v>120000</v>
      </c>
      <c r="AQ12" s="249">
        <f t="shared" si="10"/>
        <v>240000</v>
      </c>
      <c r="AR12" s="248"/>
      <c r="AS12" s="248"/>
      <c r="AT12" s="248">
        <f t="shared" si="11"/>
        <v>0</v>
      </c>
      <c r="AU12" s="257">
        <f t="shared" si="2"/>
        <v>884000</v>
      </c>
      <c r="AV12" s="258">
        <f t="shared" si="3"/>
        <v>4984000</v>
      </c>
      <c r="AW12" s="249"/>
      <c r="AX12" s="245">
        <v>4984000</v>
      </c>
      <c r="AY12" s="260" t="str">
        <f t="shared" si="4"/>
        <v>Đủ</v>
      </c>
      <c r="AZ12" s="261">
        <f t="shared" si="5"/>
        <v>0</v>
      </c>
      <c r="BA12" s="272"/>
      <c r="BB12" s="269"/>
      <c r="BC12" s="249"/>
      <c r="BD12" s="249"/>
      <c r="BE12" s="249"/>
      <c r="BF12" s="249"/>
      <c r="BG12" s="249"/>
      <c r="BH12" s="249"/>
      <c r="BI12" s="249"/>
      <c r="BJ12" s="249"/>
      <c r="BK12" s="249"/>
      <c r="BL12" s="269"/>
      <c r="BM12" s="249"/>
      <c r="BN12" s="249"/>
      <c r="BO12" s="249"/>
      <c r="BP12" s="249"/>
      <c r="BQ12" s="249"/>
      <c r="BR12" s="249"/>
      <c r="BS12" s="273"/>
      <c r="BT12" s="249"/>
      <c r="BU12" s="273"/>
      <c r="BV12" s="249"/>
      <c r="BW12" s="249"/>
      <c r="BX12" s="249"/>
      <c r="BY12" s="249"/>
      <c r="BZ12" s="249"/>
      <c r="CA12" s="249"/>
      <c r="CB12" s="249"/>
      <c r="CC12" s="249"/>
      <c r="CD12" s="249"/>
      <c r="CE12" s="249"/>
      <c r="CF12" s="249"/>
      <c r="CG12" s="249"/>
    </row>
    <row r="13" spans="1:85" ht="21.75" customHeight="1">
      <c r="A13" s="264" t="s">
        <v>45</v>
      </c>
      <c r="B13" s="264" t="s">
        <v>144</v>
      </c>
      <c r="C13" s="249">
        <v>401</v>
      </c>
      <c r="D13" s="249" t="s">
        <v>238</v>
      </c>
      <c r="E13" s="249">
        <v>1</v>
      </c>
      <c r="F13" s="266">
        <v>4100000</v>
      </c>
      <c r="G13" s="266">
        <f>4200000+200000</f>
        <v>4400000</v>
      </c>
      <c r="H13" s="266">
        <v>4100000</v>
      </c>
      <c r="I13" s="266">
        <v>4100000</v>
      </c>
      <c r="J13" s="274"/>
      <c r="K13" s="274">
        <v>30</v>
      </c>
      <c r="L13" s="249">
        <v>30</v>
      </c>
      <c r="M13" s="268"/>
      <c r="N13" s="274"/>
      <c r="O13" s="275">
        <v>2</v>
      </c>
      <c r="P13" s="249">
        <v>27</v>
      </c>
      <c r="Q13" s="249">
        <v>44</v>
      </c>
      <c r="R13" s="249">
        <f t="shared" si="6"/>
        <v>17</v>
      </c>
      <c r="S13" s="269">
        <v>4000</v>
      </c>
      <c r="T13" s="269">
        <f t="shared" si="1"/>
        <v>68000</v>
      </c>
      <c r="U13" s="249"/>
      <c r="V13" s="249"/>
      <c r="W13" s="270">
        <v>2</v>
      </c>
      <c r="X13" s="249">
        <v>120000</v>
      </c>
      <c r="Y13" s="249">
        <f t="shared" si="7"/>
        <v>240000</v>
      </c>
      <c r="Z13" s="275"/>
      <c r="AA13" s="249"/>
      <c r="AB13" s="249"/>
      <c r="AC13" s="264">
        <v>1</v>
      </c>
      <c r="AD13" s="249">
        <v>100000</v>
      </c>
      <c r="AE13" s="249">
        <f t="shared" si="8"/>
        <v>100000</v>
      </c>
      <c r="AF13" s="249">
        <v>2</v>
      </c>
      <c r="AG13" s="249">
        <v>60000</v>
      </c>
      <c r="AH13" s="249">
        <f t="shared" si="9"/>
        <v>120000</v>
      </c>
      <c r="AI13" s="249"/>
      <c r="AJ13" s="249"/>
      <c r="AK13" s="249"/>
      <c r="AL13" s="275"/>
      <c r="AM13" s="249"/>
      <c r="AN13" s="271"/>
      <c r="AO13" s="249">
        <v>2</v>
      </c>
      <c r="AP13" s="249">
        <v>120000</v>
      </c>
      <c r="AQ13" s="249">
        <f t="shared" si="10"/>
        <v>240000</v>
      </c>
      <c r="AR13" s="248"/>
      <c r="AS13" s="248"/>
      <c r="AT13" s="248">
        <f t="shared" si="11"/>
        <v>0</v>
      </c>
      <c r="AU13" s="257">
        <f t="shared" si="2"/>
        <v>768000</v>
      </c>
      <c r="AV13" s="258">
        <f t="shared" si="3"/>
        <v>4868000</v>
      </c>
      <c r="AW13" s="249"/>
      <c r="AX13" s="245">
        <f>1868000+3000000</f>
        <v>4868000</v>
      </c>
      <c r="AY13" s="260" t="str">
        <f t="shared" si="4"/>
        <v>Đủ</v>
      </c>
      <c r="AZ13" s="261">
        <f t="shared" si="5"/>
        <v>0</v>
      </c>
      <c r="BA13" s="272"/>
      <c r="BB13" s="269"/>
      <c r="BC13" s="249"/>
      <c r="BD13" s="249"/>
      <c r="BE13" s="249"/>
      <c r="BF13" s="249"/>
      <c r="BG13" s="249"/>
      <c r="BH13" s="249"/>
      <c r="BI13" s="249"/>
      <c r="BJ13" s="249"/>
      <c r="BK13" s="249"/>
      <c r="BL13" s="269"/>
      <c r="BM13" s="249"/>
      <c r="BN13" s="249"/>
      <c r="BO13" s="249"/>
      <c r="BP13" s="249"/>
      <c r="BQ13" s="249"/>
      <c r="BR13" s="249"/>
      <c r="BS13" s="273"/>
      <c r="BT13" s="249"/>
      <c r="BU13" s="273"/>
      <c r="BV13" s="249"/>
      <c r="BW13" s="249"/>
      <c r="BX13" s="249"/>
      <c r="BY13" s="249"/>
      <c r="BZ13" s="249"/>
      <c r="CA13" s="249"/>
      <c r="CB13" s="249"/>
      <c r="CC13" s="249"/>
      <c r="CD13" s="249"/>
      <c r="CE13" s="249"/>
      <c r="CF13" s="249"/>
      <c r="CG13" s="249"/>
    </row>
    <row r="14" spans="1:85" ht="21.75" customHeight="1">
      <c r="A14" s="264" t="s">
        <v>46</v>
      </c>
      <c r="B14" s="264" t="s">
        <v>144</v>
      </c>
      <c r="C14" s="249">
        <v>402</v>
      </c>
      <c r="D14" s="249" t="s">
        <v>238</v>
      </c>
      <c r="E14" s="249">
        <v>1</v>
      </c>
      <c r="F14" s="266">
        <v>3900000</v>
      </c>
      <c r="G14" s="266">
        <v>4000000</v>
      </c>
      <c r="H14" s="266">
        <v>3900000</v>
      </c>
      <c r="I14" s="266">
        <v>3900000</v>
      </c>
      <c r="J14" s="274"/>
      <c r="K14" s="249">
        <v>30</v>
      </c>
      <c r="L14" s="249">
        <v>30</v>
      </c>
      <c r="M14" s="268"/>
      <c r="N14" s="269"/>
      <c r="O14" s="275">
        <v>2</v>
      </c>
      <c r="P14" s="249">
        <v>6</v>
      </c>
      <c r="Q14" s="249">
        <v>29</v>
      </c>
      <c r="R14" s="249">
        <f t="shared" si="6"/>
        <v>23</v>
      </c>
      <c r="S14" s="269">
        <v>4000</v>
      </c>
      <c r="T14" s="269">
        <f t="shared" si="1"/>
        <v>92000</v>
      </c>
      <c r="U14" s="249"/>
      <c r="V14" s="249"/>
      <c r="W14" s="270">
        <v>2</v>
      </c>
      <c r="X14" s="249">
        <v>120000</v>
      </c>
      <c r="Y14" s="249">
        <f t="shared" si="7"/>
        <v>240000</v>
      </c>
      <c r="Z14" s="275"/>
      <c r="AA14" s="249"/>
      <c r="AB14" s="249"/>
      <c r="AC14" s="264">
        <v>1</v>
      </c>
      <c r="AD14" s="249">
        <v>100000</v>
      </c>
      <c r="AE14" s="249">
        <f t="shared" si="8"/>
        <v>100000</v>
      </c>
      <c r="AF14" s="249">
        <v>2</v>
      </c>
      <c r="AG14" s="249">
        <v>60000</v>
      </c>
      <c r="AH14" s="249">
        <f t="shared" si="9"/>
        <v>120000</v>
      </c>
      <c r="AI14" s="249">
        <v>1</v>
      </c>
      <c r="AJ14" s="249">
        <v>400000</v>
      </c>
      <c r="AK14" s="249">
        <f>AI14*AJ14</f>
        <v>400000</v>
      </c>
      <c r="AL14" s="275"/>
      <c r="AM14" s="249"/>
      <c r="AN14" s="271"/>
      <c r="AO14" s="249">
        <v>2</v>
      </c>
      <c r="AP14" s="249">
        <v>120000</v>
      </c>
      <c r="AQ14" s="249">
        <f t="shared" si="10"/>
        <v>240000</v>
      </c>
      <c r="AR14" s="248"/>
      <c r="AS14" s="248"/>
      <c r="AT14" s="248">
        <f t="shared" si="11"/>
        <v>0</v>
      </c>
      <c r="AU14" s="257">
        <f t="shared" si="2"/>
        <v>1192000</v>
      </c>
      <c r="AV14" s="258">
        <f t="shared" si="3"/>
        <v>5092000</v>
      </c>
      <c r="AW14" s="249"/>
      <c r="AX14" s="245">
        <f>1000000+4092000</f>
        <v>5092000</v>
      </c>
      <c r="AY14" s="260" t="str">
        <f t="shared" si="4"/>
        <v>Đủ</v>
      </c>
      <c r="AZ14" s="261">
        <f t="shared" si="5"/>
        <v>0</v>
      </c>
      <c r="BA14" s="272"/>
      <c r="BB14" s="269"/>
      <c r="BC14" s="249"/>
      <c r="BD14" s="249"/>
      <c r="BE14" s="249"/>
      <c r="BF14" s="249"/>
      <c r="BG14" s="249"/>
      <c r="BH14" s="249"/>
      <c r="BI14" s="249"/>
      <c r="BJ14" s="249"/>
      <c r="BK14" s="249"/>
      <c r="BL14" s="269"/>
      <c r="BM14" s="249"/>
      <c r="BN14" s="249"/>
      <c r="BO14" s="249"/>
      <c r="BP14" s="249"/>
      <c r="BQ14" s="249"/>
      <c r="BR14" s="249"/>
      <c r="BS14" s="273"/>
      <c r="BT14" s="249"/>
      <c r="BU14" s="273"/>
      <c r="BV14" s="249"/>
      <c r="BW14" s="249"/>
      <c r="BX14" s="249"/>
      <c r="BY14" s="249"/>
      <c r="BZ14" s="249"/>
      <c r="CA14" s="249"/>
      <c r="CB14" s="249"/>
      <c r="CC14" s="249"/>
      <c r="CD14" s="249"/>
      <c r="CE14" s="249"/>
      <c r="CF14" s="249"/>
      <c r="CG14" s="249"/>
    </row>
    <row r="15" spans="1:85" ht="20.25" customHeight="1">
      <c r="A15" s="264" t="s">
        <v>47</v>
      </c>
      <c r="B15" s="264" t="s">
        <v>144</v>
      </c>
      <c r="C15" s="249">
        <v>403</v>
      </c>
      <c r="D15" s="249" t="s">
        <v>238</v>
      </c>
      <c r="E15" s="249">
        <v>1</v>
      </c>
      <c r="F15" s="266">
        <v>4200000</v>
      </c>
      <c r="G15" s="266">
        <f>4300000+200000</f>
        <v>4500000</v>
      </c>
      <c r="H15" s="266">
        <v>4200000</v>
      </c>
      <c r="I15" s="266">
        <v>4200000</v>
      </c>
      <c r="J15" s="274"/>
      <c r="K15" s="249">
        <v>30</v>
      </c>
      <c r="L15" s="249">
        <v>30</v>
      </c>
      <c r="M15" s="268"/>
      <c r="N15" s="269"/>
      <c r="O15" s="275">
        <v>2</v>
      </c>
      <c r="P15" s="249">
        <v>12</v>
      </c>
      <c r="Q15" s="249">
        <v>12</v>
      </c>
      <c r="R15" s="249">
        <f t="shared" si="6"/>
        <v>0</v>
      </c>
      <c r="S15" s="269">
        <v>4000</v>
      </c>
      <c r="T15" s="269">
        <f t="shared" si="1"/>
        <v>0</v>
      </c>
      <c r="U15" s="249"/>
      <c r="V15" s="249"/>
      <c r="W15" s="270">
        <v>2</v>
      </c>
      <c r="X15" s="249">
        <v>120000</v>
      </c>
      <c r="Y15" s="249">
        <f t="shared" si="7"/>
        <v>240000</v>
      </c>
      <c r="Z15" s="275"/>
      <c r="AA15" s="249"/>
      <c r="AB15" s="249"/>
      <c r="AC15" s="264"/>
      <c r="AD15" s="249">
        <v>100000</v>
      </c>
      <c r="AE15" s="249">
        <f t="shared" si="8"/>
        <v>0</v>
      </c>
      <c r="AF15" s="249">
        <v>2</v>
      </c>
      <c r="AG15" s="249">
        <v>60000</v>
      </c>
      <c r="AH15" s="249">
        <f t="shared" si="9"/>
        <v>120000</v>
      </c>
      <c r="AI15" s="249"/>
      <c r="AJ15" s="249"/>
      <c r="AK15" s="249"/>
      <c r="AL15" s="275"/>
      <c r="AM15" s="249"/>
      <c r="AN15" s="271"/>
      <c r="AO15" s="249">
        <v>2</v>
      </c>
      <c r="AP15" s="249">
        <v>120000</v>
      </c>
      <c r="AQ15" s="249">
        <f t="shared" si="10"/>
        <v>240000</v>
      </c>
      <c r="AR15" s="248"/>
      <c r="AS15" s="248"/>
      <c r="AT15" s="248">
        <f t="shared" si="11"/>
        <v>0</v>
      </c>
      <c r="AU15" s="257">
        <f t="shared" si="2"/>
        <v>600000</v>
      </c>
      <c r="AV15" s="258">
        <f t="shared" si="3"/>
        <v>4800000</v>
      </c>
      <c r="AW15" s="249"/>
      <c r="AX15" s="245">
        <v>4800000</v>
      </c>
      <c r="AY15" s="260" t="str">
        <f t="shared" si="4"/>
        <v>Đủ</v>
      </c>
      <c r="AZ15" s="261">
        <f t="shared" si="5"/>
        <v>0</v>
      </c>
      <c r="BA15" s="272"/>
      <c r="BB15" s="269"/>
      <c r="BC15" s="249"/>
      <c r="BD15" s="249"/>
      <c r="BE15" s="249"/>
      <c r="BF15" s="249"/>
      <c r="BG15" s="249"/>
      <c r="BH15" s="249"/>
      <c r="BI15" s="249"/>
      <c r="BJ15" s="249"/>
      <c r="BK15" s="249"/>
      <c r="BL15" s="269"/>
      <c r="BM15" s="249"/>
      <c r="BN15" s="249"/>
      <c r="BO15" s="249"/>
      <c r="BP15" s="249"/>
      <c r="BQ15" s="249"/>
      <c r="BR15" s="249"/>
      <c r="BS15" s="273"/>
      <c r="BT15" s="249"/>
      <c r="BU15" s="273"/>
      <c r="BV15" s="249"/>
      <c r="BW15" s="249"/>
      <c r="BX15" s="249"/>
      <c r="BY15" s="249"/>
      <c r="BZ15" s="249"/>
      <c r="CA15" s="249"/>
      <c r="CB15" s="249"/>
      <c r="CC15" s="249"/>
      <c r="CD15" s="249"/>
      <c r="CE15" s="249"/>
      <c r="CF15" s="249"/>
      <c r="CG15" s="249"/>
    </row>
    <row r="16" spans="1:85" ht="21.75" customHeight="1">
      <c r="A16" s="264" t="s">
        <v>48</v>
      </c>
      <c r="B16" s="264" t="s">
        <v>144</v>
      </c>
      <c r="C16" s="249">
        <v>404</v>
      </c>
      <c r="D16" s="249" t="s">
        <v>238</v>
      </c>
      <c r="E16" s="249">
        <v>1</v>
      </c>
      <c r="F16" s="250">
        <v>4000000</v>
      </c>
      <c r="G16" s="266">
        <v>4400000</v>
      </c>
      <c r="H16" s="250">
        <v>4000000</v>
      </c>
      <c r="I16" s="250">
        <v>4000000</v>
      </c>
      <c r="J16" s="251"/>
      <c r="K16" s="249">
        <v>30</v>
      </c>
      <c r="L16" s="249">
        <v>30</v>
      </c>
      <c r="M16" s="268"/>
      <c r="N16" s="269"/>
      <c r="O16" s="275">
        <v>1</v>
      </c>
      <c r="P16" s="249">
        <v>5</v>
      </c>
      <c r="Q16" s="249">
        <v>53</v>
      </c>
      <c r="R16" s="249">
        <f t="shared" si="6"/>
        <v>48</v>
      </c>
      <c r="S16" s="269">
        <v>4000</v>
      </c>
      <c r="T16" s="269">
        <f t="shared" si="1"/>
        <v>192000</v>
      </c>
      <c r="U16" s="249"/>
      <c r="V16" s="249"/>
      <c r="W16" s="270">
        <v>1</v>
      </c>
      <c r="X16" s="249">
        <v>120000</v>
      </c>
      <c r="Y16" s="249">
        <f t="shared" si="7"/>
        <v>120000</v>
      </c>
      <c r="Z16" s="275"/>
      <c r="AA16" s="249"/>
      <c r="AB16" s="249"/>
      <c r="AC16" s="264"/>
      <c r="AD16" s="249">
        <v>100000</v>
      </c>
      <c r="AE16" s="249">
        <f t="shared" si="8"/>
        <v>0</v>
      </c>
      <c r="AF16" s="249">
        <v>1</v>
      </c>
      <c r="AG16" s="249">
        <v>60000</v>
      </c>
      <c r="AH16" s="249">
        <f t="shared" si="9"/>
        <v>60000</v>
      </c>
      <c r="AI16" s="249"/>
      <c r="AJ16" s="249"/>
      <c r="AK16" s="249"/>
      <c r="AL16" s="275"/>
      <c r="AM16" s="249"/>
      <c r="AN16" s="271"/>
      <c r="AO16" s="249">
        <v>1</v>
      </c>
      <c r="AP16" s="249">
        <v>120000</v>
      </c>
      <c r="AQ16" s="249">
        <f t="shared" si="10"/>
        <v>120000</v>
      </c>
      <c r="AR16" s="248"/>
      <c r="AS16" s="248"/>
      <c r="AT16" s="248">
        <f t="shared" si="11"/>
        <v>0</v>
      </c>
      <c r="AU16" s="257">
        <f t="shared" si="2"/>
        <v>492000</v>
      </c>
      <c r="AV16" s="258">
        <f t="shared" si="3"/>
        <v>4492000</v>
      </c>
      <c r="AW16" s="249"/>
      <c r="AX16" s="245">
        <v>4492000</v>
      </c>
      <c r="AY16" s="260" t="str">
        <f t="shared" si="4"/>
        <v>Đủ</v>
      </c>
      <c r="AZ16" s="261">
        <f t="shared" si="5"/>
        <v>0</v>
      </c>
      <c r="BA16" s="272"/>
      <c r="BB16" s="269"/>
      <c r="BC16" s="249"/>
      <c r="BD16" s="249"/>
      <c r="BE16" s="249"/>
      <c r="BF16" s="249"/>
      <c r="BG16" s="249"/>
      <c r="BH16" s="249"/>
      <c r="BI16" s="249"/>
      <c r="BJ16" s="249"/>
      <c r="BK16" s="249"/>
      <c r="BL16" s="269"/>
      <c r="BM16" s="249"/>
      <c r="BN16" s="249"/>
      <c r="BO16" s="249"/>
      <c r="BP16" s="249"/>
      <c r="BQ16" s="249"/>
      <c r="BR16" s="249"/>
      <c r="BS16" s="273"/>
      <c r="BT16" s="249"/>
      <c r="BU16" s="273"/>
      <c r="BV16" s="249"/>
      <c r="BW16" s="249"/>
      <c r="BX16" s="249"/>
      <c r="BY16" s="249"/>
      <c r="BZ16" s="249"/>
      <c r="CA16" s="249"/>
      <c r="CB16" s="249"/>
      <c r="CC16" s="249"/>
      <c r="CD16" s="249"/>
      <c r="CE16" s="249"/>
      <c r="CF16" s="249"/>
      <c r="CG16" s="249"/>
    </row>
    <row r="17" spans="1:85" ht="20.25" customHeight="1">
      <c r="A17" s="264" t="s">
        <v>49</v>
      </c>
      <c r="B17" s="264" t="s">
        <v>144</v>
      </c>
      <c r="C17" s="249">
        <v>601</v>
      </c>
      <c r="D17" s="249" t="s">
        <v>238</v>
      </c>
      <c r="E17" s="249">
        <v>1</v>
      </c>
      <c r="F17" s="250">
        <v>3800000</v>
      </c>
      <c r="G17" s="266">
        <v>4100000</v>
      </c>
      <c r="H17" s="250">
        <v>3800000</v>
      </c>
      <c r="I17" s="250">
        <v>3800000</v>
      </c>
      <c r="J17" s="251"/>
      <c r="K17" s="249">
        <v>30</v>
      </c>
      <c r="L17" s="249">
        <v>30</v>
      </c>
      <c r="M17" s="268"/>
      <c r="N17" s="269"/>
      <c r="O17" s="275">
        <v>1</v>
      </c>
      <c r="P17" s="249">
        <v>1</v>
      </c>
      <c r="Q17" s="249">
        <v>15</v>
      </c>
      <c r="R17" s="249">
        <f t="shared" si="6"/>
        <v>14</v>
      </c>
      <c r="S17" s="269">
        <v>4000</v>
      </c>
      <c r="T17" s="269">
        <f t="shared" si="1"/>
        <v>56000</v>
      </c>
      <c r="U17" s="269"/>
      <c r="V17" s="269"/>
      <c r="W17" s="276">
        <v>1</v>
      </c>
      <c r="X17" s="249">
        <v>120000</v>
      </c>
      <c r="Y17" s="249">
        <f t="shared" si="7"/>
        <v>120000</v>
      </c>
      <c r="Z17" s="275"/>
      <c r="AA17" s="249"/>
      <c r="AB17" s="249"/>
      <c r="AC17" s="264">
        <v>1</v>
      </c>
      <c r="AD17" s="249">
        <v>100000</v>
      </c>
      <c r="AE17" s="249">
        <f t="shared" si="8"/>
        <v>100000</v>
      </c>
      <c r="AF17" s="249">
        <v>1</v>
      </c>
      <c r="AG17" s="249">
        <v>60000</v>
      </c>
      <c r="AH17" s="249">
        <f t="shared" si="9"/>
        <v>60000</v>
      </c>
      <c r="AI17" s="249"/>
      <c r="AJ17" s="249"/>
      <c r="AK17" s="249"/>
      <c r="AL17" s="275"/>
      <c r="AM17" s="249"/>
      <c r="AN17" s="271"/>
      <c r="AO17" s="249">
        <v>1</v>
      </c>
      <c r="AP17" s="249">
        <v>120000</v>
      </c>
      <c r="AQ17" s="249">
        <f t="shared" si="10"/>
        <v>120000</v>
      </c>
      <c r="AR17" s="248"/>
      <c r="AS17" s="248"/>
      <c r="AT17" s="248">
        <f t="shared" si="11"/>
        <v>0</v>
      </c>
      <c r="AU17" s="257">
        <f t="shared" si="2"/>
        <v>456000</v>
      </c>
      <c r="AV17" s="258">
        <f t="shared" si="3"/>
        <v>4256000</v>
      </c>
      <c r="AW17" s="249"/>
      <c r="AX17" s="245">
        <v>4256000</v>
      </c>
      <c r="AY17" s="260" t="str">
        <f t="shared" si="4"/>
        <v>Đủ</v>
      </c>
      <c r="AZ17" s="261">
        <f t="shared" si="5"/>
        <v>0</v>
      </c>
      <c r="BA17" s="272"/>
      <c r="BB17" s="269"/>
      <c r="BC17" s="249"/>
      <c r="BD17" s="249"/>
      <c r="BE17" s="249"/>
      <c r="BF17" s="249"/>
      <c r="BG17" s="249"/>
      <c r="BH17" s="249"/>
      <c r="BI17" s="249"/>
      <c r="BJ17" s="249"/>
      <c r="BK17" s="249"/>
      <c r="BL17" s="269"/>
      <c r="BM17" s="249"/>
      <c r="BN17" s="249"/>
      <c r="BO17" s="249"/>
      <c r="BP17" s="249"/>
      <c r="BQ17" s="249"/>
      <c r="BR17" s="249"/>
      <c r="BS17" s="273"/>
      <c r="BT17" s="249"/>
      <c r="BU17" s="273"/>
      <c r="BV17" s="249"/>
      <c r="BW17" s="249"/>
      <c r="BX17" s="249"/>
      <c r="BY17" s="249"/>
      <c r="BZ17" s="249"/>
      <c r="CA17" s="249"/>
      <c r="CB17" s="249"/>
      <c r="CC17" s="249"/>
      <c r="CD17" s="249"/>
      <c r="CE17" s="249"/>
      <c r="CF17" s="249"/>
      <c r="CG17" s="249"/>
    </row>
    <row r="18" spans="1:85" ht="18" customHeight="1">
      <c r="A18" s="264" t="s">
        <v>50</v>
      </c>
      <c r="B18" s="264" t="s">
        <v>144</v>
      </c>
      <c r="C18" s="249">
        <v>603</v>
      </c>
      <c r="D18" s="249" t="s">
        <v>238</v>
      </c>
      <c r="E18" s="249">
        <v>1</v>
      </c>
      <c r="F18" s="250">
        <v>3000000</v>
      </c>
      <c r="G18" s="266">
        <v>3300000</v>
      </c>
      <c r="H18" s="250">
        <v>3000000</v>
      </c>
      <c r="I18" s="250">
        <v>3000000</v>
      </c>
      <c r="J18" s="251"/>
      <c r="K18" s="249">
        <v>30</v>
      </c>
      <c r="L18" s="249">
        <v>30</v>
      </c>
      <c r="M18" s="268"/>
      <c r="N18" s="269"/>
      <c r="O18" s="275">
        <v>2</v>
      </c>
      <c r="P18" s="249">
        <v>3</v>
      </c>
      <c r="Q18" s="249">
        <v>33</v>
      </c>
      <c r="R18" s="249">
        <f t="shared" si="6"/>
        <v>30</v>
      </c>
      <c r="S18" s="269">
        <v>4000</v>
      </c>
      <c r="T18" s="269">
        <f t="shared" si="1"/>
        <v>120000</v>
      </c>
      <c r="U18" s="249"/>
      <c r="V18" s="249"/>
      <c r="W18" s="270">
        <v>2</v>
      </c>
      <c r="X18" s="249">
        <v>120000</v>
      </c>
      <c r="Y18" s="249">
        <f t="shared" si="7"/>
        <v>240000</v>
      </c>
      <c r="Z18" s="275"/>
      <c r="AA18" s="249"/>
      <c r="AB18" s="249">
        <f>Z18*AA18</f>
        <v>0</v>
      </c>
      <c r="AC18" s="264">
        <v>1</v>
      </c>
      <c r="AD18" s="249">
        <v>100000</v>
      </c>
      <c r="AE18" s="249">
        <f t="shared" si="8"/>
        <v>100000</v>
      </c>
      <c r="AF18" s="249">
        <v>2</v>
      </c>
      <c r="AG18" s="249">
        <v>60000</v>
      </c>
      <c r="AH18" s="249">
        <f t="shared" si="9"/>
        <v>120000</v>
      </c>
      <c r="AI18" s="249"/>
      <c r="AJ18" s="249"/>
      <c r="AK18" s="249"/>
      <c r="AL18" s="275"/>
      <c r="AM18" s="249"/>
      <c r="AN18" s="271"/>
      <c r="AO18" s="249">
        <v>2</v>
      </c>
      <c r="AP18" s="249">
        <v>120000</v>
      </c>
      <c r="AQ18" s="249">
        <f t="shared" si="10"/>
        <v>240000</v>
      </c>
      <c r="AR18" s="248">
        <f t="shared" ref="AR18:AR19" si="16">(37-3)/2</f>
        <v>17</v>
      </c>
      <c r="AS18" s="248">
        <v>4000</v>
      </c>
      <c r="AT18" s="248">
        <f t="shared" si="11"/>
        <v>68000</v>
      </c>
      <c r="AU18" s="257">
        <f t="shared" si="2"/>
        <v>888000</v>
      </c>
      <c r="AV18" s="258">
        <f t="shared" si="3"/>
        <v>3888000</v>
      </c>
      <c r="AW18" s="249"/>
      <c r="AX18" s="245">
        <v>3888000</v>
      </c>
      <c r="AY18" s="260" t="str">
        <f t="shared" si="4"/>
        <v>Đủ</v>
      </c>
      <c r="AZ18" s="261">
        <f t="shared" si="5"/>
        <v>0</v>
      </c>
      <c r="BA18" s="272"/>
      <c r="BB18" s="269"/>
      <c r="BC18" s="249"/>
      <c r="BD18" s="249"/>
      <c r="BE18" s="249"/>
      <c r="BF18" s="249"/>
      <c r="BG18" s="249"/>
      <c r="BH18" s="249"/>
      <c r="BI18" s="249"/>
      <c r="BJ18" s="249"/>
      <c r="BK18" s="249"/>
      <c r="BL18" s="269"/>
      <c r="BM18" s="249"/>
      <c r="BN18" s="249"/>
      <c r="BO18" s="249"/>
      <c r="BP18" s="249"/>
      <c r="BQ18" s="249"/>
      <c r="BR18" s="249"/>
      <c r="BS18" s="273"/>
      <c r="BT18" s="249"/>
      <c r="BU18" s="273"/>
      <c r="BV18" s="249"/>
      <c r="BW18" s="249"/>
      <c r="BX18" s="249"/>
      <c r="BY18" s="249"/>
      <c r="BZ18" s="249"/>
      <c r="CA18" s="249"/>
      <c r="CB18" s="249"/>
      <c r="CC18" s="249"/>
      <c r="CD18" s="249"/>
      <c r="CE18" s="249"/>
      <c r="CF18" s="249"/>
      <c r="CG18" s="249"/>
    </row>
    <row r="19" spans="1:85" ht="22.5" customHeight="1">
      <c r="A19" s="264" t="s">
        <v>51</v>
      </c>
      <c r="B19" s="264" t="s">
        <v>144</v>
      </c>
      <c r="C19" s="249">
        <v>604</v>
      </c>
      <c r="D19" s="249" t="s">
        <v>238</v>
      </c>
      <c r="E19" s="249">
        <v>1</v>
      </c>
      <c r="F19" s="250">
        <v>3500000</v>
      </c>
      <c r="G19" s="266">
        <v>3500000</v>
      </c>
      <c r="H19" s="250">
        <v>3500000</v>
      </c>
      <c r="I19" s="250">
        <v>3500000</v>
      </c>
      <c r="J19" s="251"/>
      <c r="K19" s="249">
        <v>30</v>
      </c>
      <c r="L19" s="249">
        <v>30</v>
      </c>
      <c r="M19" s="268"/>
      <c r="N19" s="269"/>
      <c r="O19" s="275">
        <v>2</v>
      </c>
      <c r="P19" s="249">
        <v>1</v>
      </c>
      <c r="Q19" s="249">
        <v>12</v>
      </c>
      <c r="R19" s="249">
        <f t="shared" si="6"/>
        <v>11</v>
      </c>
      <c r="S19" s="269">
        <v>4000</v>
      </c>
      <c r="T19" s="269">
        <f t="shared" si="1"/>
        <v>44000</v>
      </c>
      <c r="U19" s="249"/>
      <c r="V19" s="249"/>
      <c r="W19" s="270">
        <v>2</v>
      </c>
      <c r="X19" s="249">
        <v>120000</v>
      </c>
      <c r="Y19" s="249">
        <f t="shared" si="7"/>
        <v>240000</v>
      </c>
      <c r="Z19" s="275"/>
      <c r="AA19" s="249"/>
      <c r="AB19" s="249"/>
      <c r="AC19" s="264">
        <v>1</v>
      </c>
      <c r="AD19" s="249">
        <v>100000</v>
      </c>
      <c r="AE19" s="249">
        <f t="shared" si="8"/>
        <v>100000</v>
      </c>
      <c r="AF19" s="249">
        <v>2</v>
      </c>
      <c r="AG19" s="249">
        <v>60000</v>
      </c>
      <c r="AH19" s="249">
        <f t="shared" si="9"/>
        <v>120000</v>
      </c>
      <c r="AI19" s="249"/>
      <c r="AJ19" s="249"/>
      <c r="AK19" s="249"/>
      <c r="AL19" s="275"/>
      <c r="AM19" s="249"/>
      <c r="AN19" s="271"/>
      <c r="AO19" s="249">
        <v>2</v>
      </c>
      <c r="AP19" s="249">
        <v>120000</v>
      </c>
      <c r="AQ19" s="249">
        <f t="shared" si="10"/>
        <v>240000</v>
      </c>
      <c r="AR19" s="248">
        <f t="shared" si="16"/>
        <v>17</v>
      </c>
      <c r="AS19" s="248">
        <v>4000</v>
      </c>
      <c r="AT19" s="248">
        <f t="shared" si="11"/>
        <v>68000</v>
      </c>
      <c r="AU19" s="257">
        <f t="shared" si="2"/>
        <v>812000</v>
      </c>
      <c r="AV19" s="258">
        <f t="shared" si="3"/>
        <v>4312000</v>
      </c>
      <c r="AW19" s="249"/>
      <c r="AX19" s="245">
        <v>4312000</v>
      </c>
      <c r="AY19" s="260" t="str">
        <f t="shared" si="4"/>
        <v>Đủ</v>
      </c>
      <c r="AZ19" s="261">
        <f t="shared" si="5"/>
        <v>0</v>
      </c>
      <c r="BA19" s="272"/>
      <c r="BB19" s="269"/>
      <c r="BC19" s="249"/>
      <c r="BD19" s="249"/>
      <c r="BE19" s="249"/>
      <c r="BF19" s="249"/>
      <c r="BG19" s="249"/>
      <c r="BH19" s="249"/>
      <c r="BI19" s="249"/>
      <c r="BJ19" s="249"/>
      <c r="BK19" s="249"/>
      <c r="BL19" s="269"/>
      <c r="BM19" s="249"/>
      <c r="BN19" s="249"/>
      <c r="BO19" s="249"/>
      <c r="BP19" s="249"/>
      <c r="BQ19" s="249"/>
      <c r="BR19" s="249"/>
      <c r="BS19" s="273"/>
      <c r="BT19" s="249"/>
      <c r="BU19" s="273"/>
      <c r="BV19" s="249"/>
      <c r="BW19" s="249"/>
      <c r="BX19" s="249"/>
      <c r="BY19" s="249"/>
      <c r="BZ19" s="249"/>
      <c r="CA19" s="249"/>
      <c r="CB19" s="249"/>
      <c r="CC19" s="249"/>
      <c r="CD19" s="249"/>
      <c r="CE19" s="249"/>
      <c r="CF19" s="249"/>
      <c r="CG19" s="249"/>
    </row>
  </sheetData>
  <mergeCells count="10">
    <mergeCell ref="AL1:AN1"/>
    <mergeCell ref="AO1:AQ1"/>
    <mergeCell ref="AR1:AT1"/>
    <mergeCell ref="BA1:BA2"/>
    <mergeCell ref="P1:T1"/>
    <mergeCell ref="U1:Y1"/>
    <mergeCell ref="Z1:AB1"/>
    <mergeCell ref="AC1:AE1"/>
    <mergeCell ref="AF1:AH1"/>
    <mergeCell ref="AI1:AK1"/>
  </mergeCells>
  <conditionalFormatting sqref="AZ4:AZ19">
    <cfRule type="notContainsBlanks" dxfId="8" priority="1">
      <formula>LEN(TRIM(AZ4))&gt;0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58D0E-9E09-40F0-B098-6F8DF60DB016}">
  <dimension ref="A1:N84"/>
  <sheetViews>
    <sheetView topLeftCell="A55" workbookViewId="0">
      <selection activeCell="G3" sqref="G3:J11"/>
    </sheetView>
  </sheetViews>
  <sheetFormatPr defaultRowHeight="14.5"/>
  <cols>
    <col min="1" max="1" width="40.26953125" customWidth="1"/>
    <col min="2" max="2" width="24.36328125" customWidth="1"/>
    <col min="3" max="3" width="22.6328125" customWidth="1"/>
    <col min="4" max="4" width="22.453125" customWidth="1"/>
    <col min="6" max="13" width="8.7265625" customWidth="1"/>
    <col min="14" max="14" width="12" customWidth="1"/>
  </cols>
  <sheetData>
    <row r="1" spans="1:14" s="144" customFormat="1" ht="15">
      <c r="A1" s="345" t="s">
        <v>257</v>
      </c>
      <c r="B1" s="345"/>
      <c r="C1" s="345"/>
      <c r="D1" s="345"/>
      <c r="E1" s="143"/>
      <c r="F1" s="346" t="s">
        <v>239</v>
      </c>
      <c r="G1" s="347"/>
      <c r="H1" s="347"/>
      <c r="I1" s="347"/>
      <c r="J1" s="347"/>
      <c r="K1" s="347"/>
      <c r="L1" s="347"/>
      <c r="M1" s="348"/>
    </row>
    <row r="2" spans="1:14" s="144" customFormat="1">
      <c r="A2" s="145" t="s">
        <v>258</v>
      </c>
      <c r="B2" s="146"/>
      <c r="C2" s="147">
        <f>'HĐ T3.26 '!AX2</f>
        <v>74940000</v>
      </c>
      <c r="D2" s="148" t="s">
        <v>173</v>
      </c>
      <c r="E2" s="149"/>
      <c r="F2" s="150"/>
      <c r="G2" s="150" t="s">
        <v>174</v>
      </c>
      <c r="H2" s="150" t="s">
        <v>175</v>
      </c>
      <c r="I2" s="150" t="s">
        <v>176</v>
      </c>
      <c r="J2" s="150" t="s">
        <v>177</v>
      </c>
      <c r="K2" s="151" t="s">
        <v>178</v>
      </c>
      <c r="L2" s="152" t="s">
        <v>179</v>
      </c>
      <c r="M2" s="152" t="s">
        <v>180</v>
      </c>
    </row>
    <row r="3" spans="1:14" s="144" customFormat="1">
      <c r="A3" s="349" t="s">
        <v>181</v>
      </c>
      <c r="B3" s="154"/>
      <c r="C3" s="155">
        <v>3500000</v>
      </c>
      <c r="D3" s="156" t="s">
        <v>259</v>
      </c>
      <c r="E3" s="149"/>
      <c r="F3" s="157" t="s">
        <v>182</v>
      </c>
      <c r="G3" s="155">
        <v>10</v>
      </c>
      <c r="H3" s="155">
        <f>G3*($C$22/100)</f>
        <v>4800000</v>
      </c>
      <c r="I3" s="155">
        <f>G3*$C$71/100</f>
        <v>2071885.7</v>
      </c>
      <c r="J3" s="155">
        <f>G3*$C$72/100</f>
        <v>1445325.9798824524</v>
      </c>
      <c r="K3" s="158"/>
      <c r="L3" s="156"/>
      <c r="M3" s="157">
        <f>H3+J3</f>
        <v>6245325.9798824526</v>
      </c>
    </row>
    <row r="4" spans="1:14" s="144" customFormat="1">
      <c r="A4" s="350"/>
      <c r="B4" s="154"/>
      <c r="C4" s="155"/>
      <c r="D4" s="156"/>
      <c r="E4" s="149"/>
      <c r="F4" s="157" t="s">
        <v>183</v>
      </c>
      <c r="G4" s="155">
        <v>20</v>
      </c>
      <c r="H4" s="155">
        <f t="shared" ref="H4:H11" si="0">G4*($C$22/100)</f>
        <v>9600000</v>
      </c>
      <c r="I4" s="155">
        <f t="shared" ref="I4:I11" si="1">G4*$C$71/100</f>
        <v>4143771.4</v>
      </c>
      <c r="J4" s="155">
        <f t="shared" ref="J4:J11" si="2">G4*$C$72/100</f>
        <v>2890651.9597649048</v>
      </c>
      <c r="K4" s="158"/>
      <c r="L4" s="156"/>
      <c r="M4" s="157">
        <f t="shared" ref="M4:M11" si="3">H4+J4</f>
        <v>12490651.959764905</v>
      </c>
    </row>
    <row r="5" spans="1:14" s="144" customFormat="1">
      <c r="A5" s="351"/>
      <c r="B5" s="154"/>
      <c r="C5" s="155"/>
      <c r="D5" s="156"/>
      <c r="F5" s="157" t="s">
        <v>240</v>
      </c>
      <c r="G5" s="155">
        <v>15</v>
      </c>
      <c r="H5" s="155">
        <f t="shared" si="0"/>
        <v>7200000</v>
      </c>
      <c r="I5" s="155">
        <f t="shared" si="1"/>
        <v>3107828.55</v>
      </c>
      <c r="J5" s="155">
        <f t="shared" si="2"/>
        <v>2167988.969823679</v>
      </c>
      <c r="K5" s="158"/>
      <c r="L5" s="156"/>
      <c r="M5" s="157">
        <f t="shared" si="3"/>
        <v>9367988.969823679</v>
      </c>
    </row>
    <row r="6" spans="1:14" s="144" customFormat="1">
      <c r="A6" s="153" t="s">
        <v>185</v>
      </c>
      <c r="B6" s="159"/>
      <c r="C6" s="160"/>
      <c r="D6" s="161"/>
      <c r="F6" s="157" t="s">
        <v>241</v>
      </c>
      <c r="G6" s="155">
        <v>5</v>
      </c>
      <c r="H6" s="155">
        <f t="shared" si="0"/>
        <v>2400000</v>
      </c>
      <c r="I6" s="155">
        <f t="shared" si="1"/>
        <v>1035942.85</v>
      </c>
      <c r="J6" s="155">
        <f t="shared" si="2"/>
        <v>722662.9899412262</v>
      </c>
      <c r="K6" s="158"/>
      <c r="L6" s="156"/>
      <c r="M6" s="157">
        <f t="shared" si="3"/>
        <v>3122662.9899412263</v>
      </c>
    </row>
    <row r="7" spans="1:14" s="144" customFormat="1">
      <c r="A7" s="349" t="s">
        <v>186</v>
      </c>
      <c r="B7" s="159"/>
      <c r="C7" s="160"/>
      <c r="D7" s="161"/>
      <c r="F7" s="157" t="s">
        <v>242</v>
      </c>
      <c r="G7" s="155">
        <v>15</v>
      </c>
      <c r="H7" s="155">
        <f t="shared" si="0"/>
        <v>7200000</v>
      </c>
      <c r="I7" s="155">
        <f t="shared" si="1"/>
        <v>3107828.55</v>
      </c>
      <c r="J7" s="155">
        <f t="shared" si="2"/>
        <v>2167988.969823679</v>
      </c>
      <c r="K7" s="158"/>
      <c r="L7" s="156"/>
      <c r="M7" s="157">
        <f t="shared" si="3"/>
        <v>9367988.969823679</v>
      </c>
    </row>
    <row r="8" spans="1:14" s="144" customFormat="1">
      <c r="A8" s="351"/>
      <c r="B8" s="159"/>
      <c r="C8" s="160"/>
      <c r="D8" s="161"/>
      <c r="F8" s="157" t="s">
        <v>184</v>
      </c>
      <c r="G8" s="155">
        <v>10</v>
      </c>
      <c r="H8" s="155">
        <f t="shared" si="0"/>
        <v>4800000</v>
      </c>
      <c r="I8" s="155">
        <f t="shared" si="1"/>
        <v>2071885.7</v>
      </c>
      <c r="J8" s="155">
        <f t="shared" si="2"/>
        <v>1445325.9798824524</v>
      </c>
      <c r="K8" s="158"/>
      <c r="L8" s="156"/>
      <c r="M8" s="157">
        <f t="shared" si="3"/>
        <v>6245325.9798824526</v>
      </c>
      <c r="N8" s="166">
        <f>H13+J13</f>
        <v>62453259.798824526</v>
      </c>
    </row>
    <row r="9" spans="1:14" s="144" customFormat="1">
      <c r="A9" s="153"/>
      <c r="B9" s="159" t="s">
        <v>187</v>
      </c>
      <c r="C9" s="160">
        <v>0</v>
      </c>
      <c r="D9" s="161"/>
      <c r="F9" s="157" t="s">
        <v>243</v>
      </c>
      <c r="G9" s="155">
        <v>5</v>
      </c>
      <c r="H9" s="155">
        <f t="shared" si="0"/>
        <v>2400000</v>
      </c>
      <c r="I9" s="155">
        <f t="shared" si="1"/>
        <v>1035942.85</v>
      </c>
      <c r="J9" s="155">
        <f t="shared" si="2"/>
        <v>722662.9899412262</v>
      </c>
      <c r="K9" s="158"/>
      <c r="L9" s="156"/>
      <c r="M9" s="157">
        <f t="shared" si="3"/>
        <v>3122662.9899412263</v>
      </c>
      <c r="N9" s="166">
        <f>H13+J13</f>
        <v>62453259.798824526</v>
      </c>
    </row>
    <row r="10" spans="1:14" s="144" customFormat="1">
      <c r="A10" s="153"/>
      <c r="B10" s="159" t="s">
        <v>188</v>
      </c>
      <c r="C10" s="160">
        <v>0</v>
      </c>
      <c r="D10" s="161"/>
      <c r="F10" s="157" t="s">
        <v>244</v>
      </c>
      <c r="G10" s="155">
        <v>10</v>
      </c>
      <c r="H10" s="155">
        <f t="shared" si="0"/>
        <v>4800000</v>
      </c>
      <c r="I10" s="155">
        <f t="shared" si="1"/>
        <v>2071885.7</v>
      </c>
      <c r="J10" s="155">
        <f t="shared" si="2"/>
        <v>1445325.9798824524</v>
      </c>
      <c r="K10" s="158"/>
      <c r="L10" s="156"/>
      <c r="M10" s="157">
        <f t="shared" si="3"/>
        <v>6245325.9798824526</v>
      </c>
    </row>
    <row r="11" spans="1:14" s="144" customFormat="1">
      <c r="A11" s="153"/>
      <c r="B11" s="159" t="s">
        <v>189</v>
      </c>
      <c r="C11" s="160">
        <v>0</v>
      </c>
      <c r="D11" s="161"/>
      <c r="F11" s="157" t="s">
        <v>245</v>
      </c>
      <c r="G11" s="155">
        <v>10</v>
      </c>
      <c r="H11" s="155">
        <f t="shared" si="0"/>
        <v>4800000</v>
      </c>
      <c r="I11" s="155">
        <f t="shared" si="1"/>
        <v>2071885.7</v>
      </c>
      <c r="J11" s="155">
        <f t="shared" si="2"/>
        <v>1445325.9798824524</v>
      </c>
      <c r="K11" s="158"/>
      <c r="L11" s="156"/>
      <c r="M11" s="157">
        <f t="shared" si="3"/>
        <v>6245325.9798824526</v>
      </c>
    </row>
    <row r="12" spans="1:14" s="144" customFormat="1">
      <c r="A12" s="167"/>
      <c r="B12" s="154" t="s">
        <v>190</v>
      </c>
      <c r="C12" s="168">
        <f>'HĐ T3.26 '!I2</f>
        <v>57500000</v>
      </c>
      <c r="D12" s="169"/>
      <c r="F12" s="157"/>
      <c r="G12" s="155"/>
      <c r="H12" s="155"/>
      <c r="I12" s="155"/>
      <c r="J12" s="155"/>
      <c r="K12" s="158"/>
      <c r="L12" s="156"/>
      <c r="M12" s="157"/>
    </row>
    <row r="13" spans="1:14" s="144" customFormat="1">
      <c r="A13" s="170"/>
      <c r="B13" s="170" t="s">
        <v>191</v>
      </c>
      <c r="C13" s="171">
        <f>'HĐ T3.26 '!T2+'HĐ T3.26 '!AT2</f>
        <v>4100000</v>
      </c>
      <c r="D13" s="172"/>
      <c r="E13" s="173"/>
      <c r="F13" s="162"/>
      <c r="G13" s="163">
        <f>SUM(G3:G12)</f>
        <v>100</v>
      </c>
      <c r="H13" s="163">
        <f>SUM(H3:H12)</f>
        <v>48000000</v>
      </c>
      <c r="I13" s="163">
        <f>SUM(I3:I12)</f>
        <v>20718856.999999996</v>
      </c>
      <c r="J13" s="163">
        <f>SUM(J3:J12)</f>
        <v>14453259.798824525</v>
      </c>
      <c r="K13" s="164">
        <f>C76*100</f>
        <v>26.656132643357456</v>
      </c>
      <c r="L13" s="162">
        <f>C78</f>
        <v>2.9194052645459871</v>
      </c>
      <c r="M13" s="163">
        <f>SUM(M3:M12)</f>
        <v>62453259.798824519</v>
      </c>
    </row>
    <row r="14" spans="1:14" s="144" customFormat="1">
      <c r="A14" s="174"/>
      <c r="B14" s="174" t="s">
        <v>192</v>
      </c>
      <c r="C14" s="168">
        <f>'HĐ T3.26 '!Y2</f>
        <v>3240000</v>
      </c>
      <c r="D14" s="175"/>
      <c r="E14" s="173"/>
    </row>
    <row r="15" spans="1:14" s="144" customFormat="1">
      <c r="A15" s="174"/>
      <c r="B15" s="174" t="s">
        <v>193</v>
      </c>
      <c r="C15" s="168">
        <f>'HĐ T3.26 '!AQ2/2</f>
        <v>1620000</v>
      </c>
      <c r="D15" s="175"/>
      <c r="E15" s="173"/>
      <c r="F15" s="165"/>
    </row>
    <row r="16" spans="1:14" s="144" customFormat="1">
      <c r="A16" s="174"/>
      <c r="B16" s="174" t="s">
        <v>194</v>
      </c>
      <c r="C16" s="168">
        <f>'HĐ T3.26 '!AE2</f>
        <v>1100000</v>
      </c>
      <c r="D16" s="175"/>
      <c r="E16" s="173"/>
    </row>
    <row r="17" spans="1:14" s="144" customFormat="1">
      <c r="A17" s="176"/>
      <c r="B17" s="174" t="s">
        <v>195</v>
      </c>
      <c r="C17" s="177">
        <f>'HĐ T3.26 '!AK2</f>
        <v>700000</v>
      </c>
      <c r="D17" s="178"/>
      <c r="E17" s="173"/>
    </row>
    <row r="18" spans="1:14" s="144" customFormat="1">
      <c r="A18" s="176"/>
      <c r="B18" s="176" t="s">
        <v>196</v>
      </c>
      <c r="C18" s="160">
        <f>'HĐ T3.26 '!AH2</f>
        <v>1560000</v>
      </c>
      <c r="D18" s="178"/>
      <c r="E18" s="173"/>
    </row>
    <row r="19" spans="1:14" s="144" customFormat="1" ht="15" thickBot="1">
      <c r="A19" s="176"/>
      <c r="B19" s="179" t="s">
        <v>197</v>
      </c>
      <c r="C19" s="180">
        <f>'HĐ T3.26 '!AQ2/2</f>
        <v>1620000</v>
      </c>
      <c r="D19" s="178"/>
      <c r="E19" s="173"/>
    </row>
    <row r="20" spans="1:14" s="144" customFormat="1" ht="15" thickBot="1">
      <c r="A20" s="179"/>
      <c r="B20" s="181" t="s">
        <v>198</v>
      </c>
      <c r="C20" s="182">
        <f>SUM(C13:C19)</f>
        <v>13940000</v>
      </c>
      <c r="D20" s="183"/>
      <c r="E20" s="173"/>
    </row>
    <row r="21" spans="1:14" s="144" customFormat="1">
      <c r="A21" s="184"/>
      <c r="B21" s="185"/>
      <c r="C21" s="186"/>
      <c r="D21" s="187"/>
      <c r="E21" s="173"/>
      <c r="N21" s="166"/>
    </row>
    <row r="22" spans="1:14" s="144" customFormat="1">
      <c r="A22" s="190" t="s">
        <v>199</v>
      </c>
      <c r="B22" s="154" t="s">
        <v>200</v>
      </c>
      <c r="C22" s="155">
        <v>48000000</v>
      </c>
      <c r="D22" s="156"/>
      <c r="E22" s="173"/>
    </row>
    <row r="23" spans="1:14" s="144" customFormat="1">
      <c r="A23" s="343" t="s">
        <v>201</v>
      </c>
      <c r="B23" s="192"/>
      <c r="C23" s="155"/>
      <c r="D23" s="156"/>
      <c r="E23" s="173"/>
      <c r="N23" s="189"/>
    </row>
    <row r="24" spans="1:14" s="144" customFormat="1">
      <c r="A24" s="344"/>
      <c r="B24" s="192"/>
      <c r="C24" s="155"/>
      <c r="D24" s="156"/>
      <c r="E24" s="173"/>
      <c r="N24" s="189"/>
    </row>
    <row r="25" spans="1:14" s="144" customFormat="1">
      <c r="A25" s="344"/>
      <c r="B25" s="154"/>
      <c r="C25" s="155"/>
      <c r="D25" s="155"/>
      <c r="E25" s="173"/>
      <c r="N25" s="189"/>
    </row>
    <row r="26" spans="1:14" s="144" customFormat="1">
      <c r="A26" s="344"/>
      <c r="B26" s="154"/>
      <c r="C26" s="155"/>
      <c r="D26" s="156"/>
      <c r="E26" s="173"/>
      <c r="N26" s="189"/>
    </row>
    <row r="27" spans="1:14" s="144" customFormat="1">
      <c r="A27" s="352"/>
      <c r="B27" s="154"/>
      <c r="C27" s="195"/>
      <c r="D27" s="156"/>
      <c r="E27" s="196"/>
      <c r="F27" s="165"/>
      <c r="N27" s="189"/>
    </row>
    <row r="28" spans="1:14" s="144" customFormat="1">
      <c r="A28" s="343" t="s">
        <v>202</v>
      </c>
      <c r="B28" s="154" t="s">
        <v>19</v>
      </c>
      <c r="C28" s="155">
        <v>5921143</v>
      </c>
      <c r="D28" s="156"/>
      <c r="E28" s="173"/>
      <c r="F28" s="188"/>
      <c r="G28" s="188"/>
      <c r="H28" s="188"/>
      <c r="I28" s="188"/>
      <c r="J28" s="188"/>
      <c r="K28" s="188"/>
      <c r="L28" s="188"/>
      <c r="M28" s="189"/>
      <c r="N28" s="189"/>
    </row>
    <row r="29" spans="1:14" s="144" customFormat="1">
      <c r="A29" s="344"/>
      <c r="B29" s="154" t="s">
        <v>20</v>
      </c>
      <c r="C29" s="155">
        <v>0</v>
      </c>
      <c r="D29" s="156"/>
      <c r="E29" s="173"/>
      <c r="F29" s="188"/>
      <c r="G29" s="188"/>
      <c r="H29" s="188"/>
      <c r="I29" s="188"/>
      <c r="J29" s="188"/>
      <c r="K29" s="188"/>
      <c r="L29" s="188"/>
      <c r="M29" s="191"/>
      <c r="N29" s="189"/>
    </row>
    <row r="30" spans="1:14" s="144" customFormat="1">
      <c r="A30" s="344"/>
      <c r="B30" s="154" t="s">
        <v>203</v>
      </c>
      <c r="C30" s="155">
        <v>0</v>
      </c>
      <c r="D30" s="156"/>
      <c r="E30" s="173"/>
      <c r="F30" s="173"/>
      <c r="G30" s="173"/>
      <c r="H30" s="173"/>
      <c r="I30" s="173"/>
      <c r="J30" s="193"/>
      <c r="K30" s="194"/>
      <c r="L30" s="173"/>
      <c r="M30" s="173"/>
      <c r="N30" s="189"/>
    </row>
    <row r="31" spans="1:14" s="144" customFormat="1">
      <c r="A31" s="344"/>
      <c r="B31" s="154" t="s">
        <v>204</v>
      </c>
      <c r="C31" s="155">
        <v>300000</v>
      </c>
      <c r="D31" s="155"/>
      <c r="E31" s="149"/>
      <c r="F31" s="173"/>
      <c r="G31" s="173"/>
      <c r="H31" s="173"/>
      <c r="I31" s="173"/>
      <c r="J31" s="193"/>
      <c r="K31" s="194"/>
      <c r="L31" s="173"/>
      <c r="M31" s="173"/>
    </row>
    <row r="32" spans="1:14" s="144" customFormat="1">
      <c r="A32" s="344"/>
      <c r="B32" s="154" t="s">
        <v>205</v>
      </c>
      <c r="C32" s="155"/>
      <c r="D32" s="156"/>
      <c r="E32" s="149"/>
      <c r="F32" s="173"/>
      <c r="G32" s="173"/>
      <c r="H32" s="173"/>
      <c r="I32" s="173"/>
      <c r="J32" s="193"/>
      <c r="K32" s="194"/>
      <c r="L32" s="173"/>
      <c r="M32" s="173"/>
    </row>
    <row r="33" spans="1:13" s="144" customFormat="1">
      <c r="A33" s="344"/>
      <c r="B33" s="154" t="s">
        <v>206</v>
      </c>
      <c r="C33" s="155"/>
      <c r="D33" s="156"/>
      <c r="E33" s="149"/>
      <c r="F33" s="173"/>
      <c r="G33" s="173"/>
      <c r="H33" s="173"/>
      <c r="I33" s="173"/>
      <c r="J33" s="193"/>
      <c r="K33" s="194"/>
      <c r="L33" s="173"/>
      <c r="M33" s="173"/>
    </row>
    <row r="34" spans="1:13" s="144" customFormat="1">
      <c r="A34" s="198" t="s">
        <v>207</v>
      </c>
      <c r="B34" s="145"/>
      <c r="C34" s="147">
        <f>SUM(C22:C33)</f>
        <v>54221143</v>
      </c>
      <c r="D34" s="156"/>
      <c r="E34" s="149"/>
      <c r="F34" s="173"/>
      <c r="G34" s="173"/>
      <c r="H34" s="173"/>
      <c r="I34" s="173"/>
      <c r="J34" s="193"/>
      <c r="K34" s="194"/>
      <c r="L34" s="173"/>
      <c r="M34" s="173"/>
    </row>
    <row r="35" spans="1:13" s="144" customFormat="1">
      <c r="A35" s="353" t="s">
        <v>208</v>
      </c>
      <c r="B35" s="154" t="s">
        <v>21</v>
      </c>
      <c r="C35" s="155">
        <f>'[7]THÁNG 3'!$W$117</f>
        <v>1604489.7635779723</v>
      </c>
      <c r="D35" s="155"/>
      <c r="E35" s="143"/>
      <c r="F35" s="173"/>
      <c r="G35" s="173"/>
      <c r="H35" s="173"/>
      <c r="I35" s="173"/>
      <c r="J35" s="193"/>
      <c r="K35" s="194"/>
      <c r="L35" s="173"/>
      <c r="M35" s="173"/>
    </row>
    <row r="36" spans="1:13" s="144" customFormat="1">
      <c r="A36" s="354"/>
      <c r="B36" s="154" t="s">
        <v>22</v>
      </c>
      <c r="C36" s="155">
        <f>(12000000/1282)*15</f>
        <v>140405.61622464898</v>
      </c>
      <c r="D36" s="155"/>
      <c r="E36" s="143"/>
      <c r="F36" s="173"/>
      <c r="G36" s="173"/>
      <c r="H36" s="173"/>
      <c r="I36" s="173"/>
      <c r="J36" s="193"/>
      <c r="K36" s="194"/>
      <c r="L36" s="173"/>
      <c r="M36" s="173"/>
    </row>
    <row r="37" spans="1:13" s="144" customFormat="1">
      <c r="A37" s="354"/>
      <c r="B37" s="154" t="s">
        <v>209</v>
      </c>
      <c r="C37" s="155">
        <f>(10000000/1282)*15+7000*15</f>
        <v>222004.68018720747</v>
      </c>
      <c r="D37" s="155"/>
      <c r="E37" s="143"/>
      <c r="F37" s="149"/>
      <c r="G37" s="149"/>
      <c r="H37" s="149"/>
      <c r="I37" s="149"/>
      <c r="J37" s="143"/>
      <c r="K37" s="197"/>
      <c r="L37" s="149"/>
      <c r="M37" s="149"/>
    </row>
    <row r="38" spans="1:13" s="144" customFormat="1">
      <c r="A38" s="354"/>
      <c r="B38" s="154" t="s">
        <v>24</v>
      </c>
      <c r="C38" s="155">
        <f>(8000000/1282)*15+5000*15</f>
        <v>168603.74414976599</v>
      </c>
      <c r="D38" s="155"/>
      <c r="E38" s="143"/>
      <c r="F38" s="149"/>
      <c r="G38" s="149"/>
      <c r="H38" s="149"/>
      <c r="I38" s="149"/>
      <c r="J38" s="143"/>
      <c r="K38" s="197"/>
      <c r="L38" s="149"/>
      <c r="M38" s="149"/>
    </row>
    <row r="39" spans="1:13" s="144" customFormat="1">
      <c r="A39" s="354"/>
      <c r="B39" s="154" t="s">
        <v>255</v>
      </c>
      <c r="C39" s="155">
        <f>(6000000/1282)*15</f>
        <v>70202.808112324492</v>
      </c>
      <c r="D39" s="155"/>
      <c r="E39" s="143"/>
      <c r="F39" s="149"/>
      <c r="G39" s="149"/>
      <c r="H39" s="149"/>
      <c r="I39" s="149"/>
      <c r="J39" s="143"/>
      <c r="K39" s="197"/>
      <c r="L39" s="149"/>
      <c r="M39" s="149"/>
    </row>
    <row r="40" spans="1:13" s="144" customFormat="1">
      <c r="A40" s="354"/>
      <c r="B40" s="154" t="s">
        <v>210</v>
      </c>
      <c r="C40" s="155">
        <f>(SUM('[7]THÁNG 3'!$Y$125/1282)*15)</f>
        <v>403261.13494539779</v>
      </c>
      <c r="D40" s="155"/>
      <c r="E40" s="143"/>
      <c r="F40" s="149"/>
      <c r="G40" s="149"/>
      <c r="H40" s="149"/>
      <c r="I40" s="149"/>
      <c r="J40" s="143"/>
      <c r="K40" s="197"/>
      <c r="L40" s="149"/>
      <c r="M40" s="149"/>
    </row>
    <row r="41" spans="1:13" s="144" customFormat="1">
      <c r="A41" s="354"/>
      <c r="B41" s="154" t="s">
        <v>26</v>
      </c>
      <c r="C41" s="155">
        <v>550000</v>
      </c>
      <c r="D41" s="155"/>
      <c r="E41" s="143"/>
      <c r="F41" s="149"/>
      <c r="G41" s="149"/>
      <c r="H41" s="149"/>
      <c r="I41" s="149"/>
      <c r="J41" s="143"/>
      <c r="K41" s="197"/>
      <c r="L41" s="149"/>
      <c r="M41" s="149"/>
    </row>
    <row r="42" spans="1:13" s="144" customFormat="1">
      <c r="A42" s="354"/>
      <c r="B42" s="154" t="s">
        <v>27</v>
      </c>
      <c r="C42" s="155">
        <f>150000+10000+(2000000/1282)*15</f>
        <v>183400.93603744148</v>
      </c>
      <c r="D42" s="155"/>
      <c r="E42" s="143"/>
      <c r="F42" s="149"/>
      <c r="G42" s="149"/>
      <c r="H42" s="149"/>
      <c r="I42" s="149"/>
      <c r="J42" s="143"/>
      <c r="K42" s="197"/>
      <c r="L42" s="149"/>
      <c r="M42" s="149"/>
    </row>
    <row r="43" spans="1:13" s="144" customFormat="1">
      <c r="A43" s="354"/>
      <c r="B43" s="154" t="s">
        <v>28</v>
      </c>
      <c r="C43" s="155">
        <f>(22000000/1282)*15</f>
        <v>257410.29641185649</v>
      </c>
      <c r="D43" s="155"/>
      <c r="E43" s="143"/>
      <c r="F43" s="149"/>
      <c r="G43" s="149"/>
      <c r="H43" s="149"/>
      <c r="I43" s="149"/>
      <c r="J43" s="143"/>
      <c r="K43" s="197"/>
      <c r="L43" s="149"/>
      <c r="M43" s="149"/>
    </row>
    <row r="44" spans="1:13" s="144" customFormat="1">
      <c r="A44" s="354"/>
      <c r="B44" s="154" t="s">
        <v>29</v>
      </c>
      <c r="C44" s="155"/>
      <c r="D44" s="155"/>
      <c r="E44" s="143"/>
      <c r="F44" s="149"/>
      <c r="G44" s="149"/>
      <c r="H44" s="149"/>
      <c r="I44" s="149"/>
      <c r="J44" s="143"/>
      <c r="K44" s="197"/>
      <c r="L44" s="149"/>
      <c r="M44" s="149"/>
    </row>
    <row r="45" spans="1:13" s="144" customFormat="1">
      <c r="A45" s="355"/>
      <c r="B45" s="154" t="s">
        <v>211</v>
      </c>
      <c r="C45" s="155">
        <f>('[8]THÁNG 3.26 '!$B$19/1282)*15</f>
        <v>536407.81591263646</v>
      </c>
      <c r="D45" s="155"/>
      <c r="E45" s="143"/>
      <c r="F45" s="149"/>
      <c r="G45" s="149"/>
      <c r="H45" s="149"/>
      <c r="I45" s="149"/>
      <c r="J45" s="143"/>
      <c r="K45" s="197"/>
      <c r="L45" s="149"/>
      <c r="M45" s="149"/>
    </row>
    <row r="46" spans="1:13" s="144" customFormat="1">
      <c r="A46" s="343" t="s">
        <v>212</v>
      </c>
      <c r="B46" s="349" t="s">
        <v>31</v>
      </c>
      <c r="C46" s="155">
        <f>('[8]THÁNG 3.26 '!$F$10/1282)*15</f>
        <v>189410.40561622466</v>
      </c>
      <c r="D46" s="155"/>
      <c r="E46" s="143"/>
      <c r="F46" s="149"/>
      <c r="G46" s="149"/>
      <c r="H46" s="149"/>
      <c r="I46" s="149"/>
      <c r="J46" s="143"/>
      <c r="K46" s="197"/>
      <c r="L46" s="149"/>
      <c r="M46" s="149"/>
    </row>
    <row r="47" spans="1:13" s="144" customFormat="1">
      <c r="A47" s="344"/>
      <c r="B47" s="350"/>
      <c r="C47" s="155">
        <v>1225000</v>
      </c>
      <c r="D47" s="155" t="s">
        <v>259</v>
      </c>
      <c r="E47" s="143"/>
      <c r="F47" s="149"/>
      <c r="G47" s="149"/>
      <c r="H47" s="149"/>
      <c r="I47" s="149"/>
      <c r="J47" s="143"/>
      <c r="K47" s="197"/>
      <c r="L47" s="149"/>
      <c r="M47" s="149"/>
    </row>
    <row r="48" spans="1:13" s="144" customFormat="1">
      <c r="A48" s="344"/>
      <c r="B48" s="350"/>
      <c r="C48" s="155">
        <v>300000</v>
      </c>
      <c r="D48" s="155" t="s">
        <v>264</v>
      </c>
      <c r="E48" s="143"/>
      <c r="F48" s="149"/>
      <c r="G48" s="149"/>
      <c r="H48" s="149"/>
      <c r="I48" s="149"/>
      <c r="J48" s="143"/>
      <c r="K48" s="197"/>
      <c r="L48" s="149"/>
      <c r="M48" s="149"/>
    </row>
    <row r="49" spans="1:13" s="144" customFormat="1">
      <c r="A49" s="344"/>
      <c r="B49" s="351"/>
      <c r="C49" s="155"/>
      <c r="D49" s="155"/>
      <c r="E49" s="143"/>
      <c r="F49" s="149"/>
      <c r="G49" s="149"/>
      <c r="H49" s="149"/>
      <c r="I49" s="149"/>
      <c r="J49" s="143"/>
      <c r="K49" s="197"/>
      <c r="L49" s="149"/>
      <c r="M49" s="149"/>
    </row>
    <row r="50" spans="1:13" s="144" customFormat="1">
      <c r="A50" s="344"/>
      <c r="B50" s="356" t="s">
        <v>213</v>
      </c>
      <c r="C50" s="155">
        <v>145000</v>
      </c>
      <c r="D50" s="199" t="s">
        <v>261</v>
      </c>
      <c r="E50" s="143"/>
      <c r="F50" s="149"/>
      <c r="G50" s="149"/>
      <c r="H50" s="149"/>
      <c r="I50" s="149"/>
      <c r="J50" s="143"/>
      <c r="K50" s="197"/>
      <c r="L50" s="149"/>
      <c r="M50" s="149"/>
    </row>
    <row r="51" spans="1:13" s="144" customFormat="1" ht="24" customHeight="1">
      <c r="A51" s="344"/>
      <c r="B51" s="357"/>
      <c r="C51" s="200">
        <v>30000</v>
      </c>
      <c r="D51" s="199" t="s">
        <v>262</v>
      </c>
      <c r="E51" s="143"/>
      <c r="F51" s="149"/>
      <c r="G51" s="149"/>
      <c r="H51" s="149"/>
      <c r="I51" s="149"/>
      <c r="J51" s="143"/>
      <c r="K51" s="197"/>
      <c r="L51" s="149"/>
      <c r="M51" s="149"/>
    </row>
    <row r="52" spans="1:13" s="144" customFormat="1">
      <c r="A52" s="344"/>
      <c r="B52" s="357"/>
      <c r="C52" s="200"/>
      <c r="D52" s="199"/>
      <c r="E52" s="143"/>
      <c r="F52" s="149"/>
      <c r="G52" s="149"/>
      <c r="H52" s="149"/>
      <c r="I52" s="149"/>
      <c r="J52" s="143"/>
      <c r="K52" s="197"/>
      <c r="L52" s="149"/>
      <c r="M52" s="149"/>
    </row>
    <row r="53" spans="1:13" s="144" customFormat="1">
      <c r="A53" s="344"/>
      <c r="B53" s="357"/>
      <c r="C53" s="200"/>
      <c r="D53" s="199"/>
      <c r="E53" s="143"/>
      <c r="F53" s="149"/>
      <c r="G53" s="149"/>
      <c r="H53" s="149"/>
      <c r="I53" s="149"/>
      <c r="J53" s="143"/>
      <c r="K53" s="197"/>
      <c r="L53" s="149"/>
      <c r="M53" s="149"/>
    </row>
    <row r="54" spans="1:13" s="144" customFormat="1">
      <c r="A54" s="344"/>
      <c r="B54" s="357"/>
      <c r="C54" s="200"/>
      <c r="D54" s="199"/>
      <c r="E54" s="143"/>
      <c r="F54" s="149"/>
      <c r="G54" s="149"/>
      <c r="H54" s="149"/>
      <c r="I54" s="149"/>
      <c r="J54" s="143"/>
      <c r="K54" s="197"/>
      <c r="L54" s="149"/>
      <c r="M54" s="149"/>
    </row>
    <row r="55" spans="1:13" s="144" customFormat="1">
      <c r="A55" s="344"/>
      <c r="B55" s="357"/>
      <c r="C55" s="200"/>
      <c r="D55" s="199"/>
      <c r="E55" s="143"/>
      <c r="F55" s="149"/>
      <c r="G55" s="149"/>
      <c r="H55" s="149"/>
      <c r="I55" s="149"/>
      <c r="J55" s="143"/>
      <c r="K55" s="197"/>
      <c r="L55" s="149"/>
      <c r="M55" s="149"/>
    </row>
    <row r="56" spans="1:13" s="144" customFormat="1">
      <c r="A56" s="344"/>
      <c r="B56" s="357"/>
      <c r="C56" s="200"/>
      <c r="D56" s="199"/>
      <c r="E56" s="143"/>
      <c r="F56" s="149"/>
      <c r="G56" s="149"/>
      <c r="H56" s="149"/>
      <c r="I56" s="149"/>
      <c r="J56" s="143"/>
      <c r="K56" s="197"/>
      <c r="L56" s="149"/>
      <c r="M56" s="149"/>
    </row>
    <row r="57" spans="1:13" s="144" customFormat="1">
      <c r="A57" s="344"/>
      <c r="B57" s="357"/>
      <c r="C57" s="201"/>
      <c r="D57" s="202"/>
      <c r="E57" s="143"/>
      <c r="F57" s="149"/>
      <c r="G57" s="149"/>
      <c r="H57" s="149"/>
      <c r="I57" s="149"/>
      <c r="J57" s="143"/>
      <c r="K57" s="197"/>
      <c r="L57" s="149"/>
      <c r="M57" s="149"/>
    </row>
    <row r="58" spans="1:13" s="144" customFormat="1">
      <c r="A58" s="344"/>
      <c r="B58" s="357"/>
      <c r="C58" s="201"/>
      <c r="D58" s="202"/>
      <c r="E58" s="143"/>
      <c r="F58" s="149"/>
      <c r="G58" s="149"/>
      <c r="H58" s="149"/>
      <c r="I58" s="149"/>
      <c r="J58" s="143"/>
      <c r="K58" s="197"/>
      <c r="L58" s="149"/>
      <c r="M58" s="149"/>
    </row>
    <row r="59" spans="1:13" s="144" customFormat="1">
      <c r="A59" s="344"/>
      <c r="B59" s="357"/>
      <c r="C59" s="201"/>
      <c r="D59" s="202"/>
      <c r="E59" s="143"/>
      <c r="F59" s="149"/>
      <c r="G59" s="149"/>
      <c r="H59" s="149"/>
      <c r="I59" s="149"/>
      <c r="J59" s="143"/>
      <c r="K59" s="197"/>
      <c r="L59" s="149"/>
      <c r="M59" s="149"/>
    </row>
    <row r="60" spans="1:13" s="144" customFormat="1">
      <c r="A60" s="344"/>
      <c r="B60" s="357"/>
      <c r="C60" s="201"/>
      <c r="D60" s="202"/>
      <c r="E60" s="143"/>
      <c r="F60" s="149"/>
      <c r="G60" s="149"/>
      <c r="H60" s="149"/>
      <c r="I60" s="149"/>
      <c r="J60" s="143"/>
      <c r="K60" s="197"/>
      <c r="L60" s="149"/>
      <c r="M60" s="149"/>
    </row>
    <row r="61" spans="1:13" s="144" customFormat="1">
      <c r="A61" s="344"/>
      <c r="B61" s="357"/>
      <c r="C61" s="201"/>
      <c r="D61" s="202"/>
      <c r="E61" s="143"/>
      <c r="F61" s="149"/>
      <c r="G61" s="149"/>
      <c r="H61" s="149"/>
      <c r="I61" s="149"/>
      <c r="J61" s="143"/>
      <c r="K61" s="197"/>
      <c r="L61" s="149"/>
      <c r="M61" s="149"/>
    </row>
    <row r="62" spans="1:13" s="144" customFormat="1">
      <c r="A62" s="344"/>
      <c r="B62" s="357"/>
      <c r="C62" s="201"/>
      <c r="D62" s="202"/>
      <c r="E62" s="143"/>
      <c r="F62" s="149"/>
      <c r="G62" s="149"/>
      <c r="H62" s="149"/>
      <c r="I62" s="149"/>
      <c r="J62" s="143"/>
      <c r="K62" s="197"/>
      <c r="L62" s="149"/>
      <c r="M62" s="149"/>
    </row>
    <row r="63" spans="1:13" s="144" customFormat="1">
      <c r="A63" s="344"/>
      <c r="B63" s="357"/>
      <c r="C63" s="201"/>
      <c r="D63" s="202"/>
      <c r="E63" s="149"/>
      <c r="F63" s="149"/>
      <c r="G63" s="149"/>
      <c r="H63" s="149"/>
      <c r="I63" s="149"/>
      <c r="J63" s="143"/>
      <c r="K63" s="197"/>
      <c r="L63" s="149"/>
      <c r="M63" s="149"/>
    </row>
    <row r="64" spans="1:13" s="144" customFormat="1">
      <c r="A64" s="344"/>
      <c r="B64" s="358"/>
      <c r="C64" s="201"/>
      <c r="D64" s="202"/>
      <c r="E64" s="143"/>
      <c r="F64" s="149"/>
      <c r="G64" s="149"/>
      <c r="H64" s="149"/>
      <c r="I64" s="149"/>
      <c r="J64" s="143"/>
      <c r="K64" s="197"/>
      <c r="L64" s="149"/>
      <c r="M64" s="149"/>
    </row>
    <row r="65" spans="1:13" s="144" customFormat="1">
      <c r="A65" s="344"/>
      <c r="B65" s="357" t="s">
        <v>214</v>
      </c>
      <c r="C65" s="200">
        <v>40000</v>
      </c>
      <c r="D65" s="199" t="s">
        <v>260</v>
      </c>
      <c r="E65" s="143"/>
      <c r="F65" s="149"/>
      <c r="G65" s="149"/>
      <c r="H65" s="149"/>
      <c r="I65" s="149"/>
      <c r="J65" s="143"/>
      <c r="K65" s="197"/>
      <c r="L65" s="149"/>
      <c r="M65" s="149"/>
    </row>
    <row r="66" spans="1:13" s="144" customFormat="1" ht="39">
      <c r="A66" s="344"/>
      <c r="B66" s="357"/>
      <c r="C66" s="200">
        <v>200000</v>
      </c>
      <c r="D66" s="199" t="s">
        <v>263</v>
      </c>
      <c r="E66" s="143"/>
      <c r="F66" s="149"/>
      <c r="G66" s="149"/>
      <c r="H66" s="149"/>
      <c r="I66" s="149"/>
      <c r="J66" s="143"/>
      <c r="K66" s="197"/>
      <c r="L66" s="149"/>
      <c r="M66" s="149"/>
    </row>
    <row r="67" spans="1:13" s="144" customFormat="1">
      <c r="A67" s="344"/>
      <c r="B67" s="357"/>
      <c r="C67" s="201"/>
      <c r="D67" s="202"/>
      <c r="E67" s="143"/>
      <c r="F67" s="149"/>
      <c r="G67" s="149"/>
      <c r="H67" s="149"/>
      <c r="I67" s="149"/>
      <c r="J67" s="143"/>
      <c r="K67" s="197"/>
      <c r="L67" s="149"/>
      <c r="M67" s="149"/>
    </row>
    <row r="68" spans="1:13" s="144" customFormat="1">
      <c r="A68" s="352"/>
      <c r="B68" s="358"/>
      <c r="C68" s="155"/>
      <c r="D68" s="156"/>
      <c r="E68" s="143"/>
      <c r="F68" s="149"/>
      <c r="G68" s="149"/>
      <c r="H68" s="149"/>
      <c r="I68" s="149"/>
      <c r="J68" s="143"/>
      <c r="K68" s="197"/>
      <c r="L68" s="149"/>
      <c r="M68" s="149"/>
    </row>
    <row r="69" spans="1:13" s="144" customFormat="1">
      <c r="A69" s="198" t="s">
        <v>215</v>
      </c>
      <c r="B69" s="145"/>
      <c r="C69" s="203">
        <f>SUM(C35:C68)</f>
        <v>6265597.2011754764</v>
      </c>
      <c r="D69" s="36"/>
      <c r="E69" s="149"/>
      <c r="F69" s="149"/>
      <c r="G69" s="149"/>
      <c r="H69" s="149"/>
      <c r="I69" s="149"/>
      <c r="J69" s="143"/>
      <c r="K69" s="197"/>
      <c r="L69" s="149"/>
      <c r="M69" s="149"/>
    </row>
    <row r="70" spans="1:13" s="144" customFormat="1">
      <c r="A70" s="204" t="s">
        <v>216</v>
      </c>
      <c r="B70" s="205"/>
      <c r="C70" s="206">
        <f>C34+C69</f>
        <v>60486740.201175474</v>
      </c>
      <c r="D70" s="36"/>
      <c r="E70" s="149"/>
      <c r="F70" s="149"/>
      <c r="G70" s="149"/>
      <c r="H70" s="149"/>
      <c r="I70" s="149"/>
      <c r="J70" s="143"/>
      <c r="K70" s="197"/>
      <c r="L70" s="149"/>
      <c r="M70" s="149"/>
    </row>
    <row r="71" spans="1:13" s="144" customFormat="1">
      <c r="A71" s="207" t="s">
        <v>217</v>
      </c>
      <c r="B71" s="207"/>
      <c r="C71" s="208">
        <f>C2-C34</f>
        <v>20718857</v>
      </c>
      <c r="D71" s="156" t="s">
        <v>218</v>
      </c>
      <c r="E71" s="143"/>
      <c r="F71" s="149"/>
      <c r="G71" s="149"/>
      <c r="H71" s="149"/>
      <c r="I71" s="149"/>
      <c r="J71" s="143"/>
      <c r="K71" s="197"/>
      <c r="L71" s="149"/>
      <c r="M71" s="149"/>
    </row>
    <row r="72" spans="1:13" s="144" customFormat="1">
      <c r="A72" s="209" t="s">
        <v>219</v>
      </c>
      <c r="B72" s="209"/>
      <c r="C72" s="210">
        <f>C2-C70</f>
        <v>14453259.798824526</v>
      </c>
      <c r="D72" s="156" t="s">
        <v>220</v>
      </c>
      <c r="E72" s="149"/>
      <c r="F72" s="149"/>
      <c r="G72" s="149"/>
      <c r="H72" s="149"/>
      <c r="I72" s="149"/>
      <c r="J72" s="143"/>
      <c r="K72" s="197"/>
      <c r="L72" s="149"/>
      <c r="M72" s="149"/>
    </row>
    <row r="73" spans="1:13" s="144" customFormat="1">
      <c r="A73" s="211" t="s">
        <v>207</v>
      </c>
      <c r="B73" s="211"/>
      <c r="C73" s="212">
        <f>C34</f>
        <v>54221143</v>
      </c>
      <c r="D73" s="156"/>
      <c r="E73" s="149"/>
      <c r="F73" s="149"/>
      <c r="G73" s="149"/>
      <c r="H73" s="149"/>
      <c r="I73" s="149"/>
      <c r="J73" s="143"/>
      <c r="K73" s="197"/>
      <c r="L73" s="149"/>
      <c r="M73" s="149"/>
    </row>
    <row r="74" spans="1:13" s="144" customFormat="1">
      <c r="A74" s="214" t="s">
        <v>221</v>
      </c>
      <c r="B74" s="215"/>
      <c r="C74" s="216">
        <f>C72/C2</f>
        <v>0.19286442218874469</v>
      </c>
      <c r="D74" s="156"/>
      <c r="E74" s="149"/>
      <c r="J74" s="143"/>
      <c r="K74" s="197"/>
      <c r="L74" s="149"/>
      <c r="M74" s="149"/>
    </row>
    <row r="75" spans="1:13" s="144" customFormat="1">
      <c r="A75" s="214" t="s">
        <v>222</v>
      </c>
      <c r="B75" s="215"/>
      <c r="C75" s="216">
        <f>C71/C2</f>
        <v>0.27647260475046703</v>
      </c>
      <c r="D75" s="156"/>
      <c r="J75" s="143"/>
      <c r="K75" s="197"/>
      <c r="L75" s="149"/>
      <c r="M75" s="149"/>
    </row>
    <row r="76" spans="1:13" s="144" customFormat="1">
      <c r="A76" s="214" t="s">
        <v>223</v>
      </c>
      <c r="B76" s="215"/>
      <c r="C76" s="216">
        <f>C72/C73</f>
        <v>0.26656132643357455</v>
      </c>
      <c r="D76" s="156"/>
      <c r="J76" s="143"/>
      <c r="K76" s="197"/>
      <c r="L76" s="149"/>
      <c r="M76" s="149"/>
    </row>
    <row r="77" spans="1:13">
      <c r="A77" s="214" t="s">
        <v>224</v>
      </c>
      <c r="B77" s="215"/>
      <c r="C77" s="216">
        <f>C72/C71</f>
        <v>0.69758963049093525</v>
      </c>
      <c r="D77" s="156"/>
      <c r="F77" s="144"/>
      <c r="G77" s="144"/>
      <c r="H77" s="144"/>
      <c r="I77" s="144"/>
      <c r="J77" s="143"/>
      <c r="K77" s="197"/>
      <c r="L77" s="149"/>
      <c r="M77" s="149"/>
    </row>
    <row r="78" spans="1:13">
      <c r="A78" s="214" t="s">
        <v>179</v>
      </c>
      <c r="B78" s="215"/>
      <c r="C78" s="217">
        <f>C70/C71</f>
        <v>2.9194052645459871</v>
      </c>
      <c r="D78" s="156"/>
      <c r="F78" s="144"/>
      <c r="G78" s="144"/>
      <c r="H78" s="144"/>
      <c r="I78" s="144"/>
      <c r="J78" s="143"/>
      <c r="K78" s="197"/>
      <c r="L78" s="149"/>
      <c r="M78" s="149"/>
    </row>
    <row r="79" spans="1:13">
      <c r="A79" s="214" t="s">
        <v>225</v>
      </c>
      <c r="B79" s="218"/>
      <c r="C79" s="218">
        <f>C73/C2</f>
        <v>0.72352739524953291</v>
      </c>
      <c r="D79" s="9"/>
      <c r="F79" s="144"/>
      <c r="G79" s="144"/>
      <c r="H79" s="144"/>
      <c r="I79" s="144"/>
      <c r="J79" s="143"/>
      <c r="K79" s="197"/>
      <c r="L79" s="149"/>
      <c r="M79" s="149"/>
    </row>
    <row r="80" spans="1:13">
      <c r="A80" s="214" t="s">
        <v>226</v>
      </c>
      <c r="B80" s="218"/>
      <c r="C80" s="218">
        <f>C69/C2</f>
        <v>8.3608182561722394E-2</v>
      </c>
      <c r="D80" s="9"/>
      <c r="F80" s="144"/>
      <c r="G80" s="144"/>
      <c r="H80" s="144"/>
      <c r="I80" s="144"/>
      <c r="J80" s="149"/>
      <c r="K80" s="213"/>
      <c r="L80" s="149"/>
      <c r="M80" s="149"/>
    </row>
    <row r="81" spans="1:13">
      <c r="A81" s="214" t="s">
        <v>227</v>
      </c>
      <c r="B81" s="218"/>
      <c r="C81" s="218">
        <f>C70/C2</f>
        <v>0.80713557781125533</v>
      </c>
      <c r="D81" s="9"/>
      <c r="F81" s="144"/>
      <c r="G81" s="144"/>
      <c r="H81" s="144"/>
      <c r="I81" s="144"/>
      <c r="J81" s="149"/>
      <c r="K81" s="213"/>
      <c r="L81" s="149"/>
      <c r="M81" s="149"/>
    </row>
    <row r="82" spans="1:13">
      <c r="A82" s="214" t="s">
        <v>228</v>
      </c>
      <c r="B82" s="218"/>
      <c r="C82" s="218">
        <f>SUM(C35:C44)/C69</f>
        <v>0.57453086498622474</v>
      </c>
      <c r="D82" s="9"/>
      <c r="F82" s="144"/>
      <c r="G82" s="144"/>
      <c r="H82" s="144"/>
      <c r="I82" s="144"/>
      <c r="J82" s="149"/>
      <c r="K82" s="213"/>
      <c r="L82" s="149"/>
      <c r="M82" s="149"/>
    </row>
    <row r="83" spans="1:13">
      <c r="A83" s="214" t="s">
        <v>229</v>
      </c>
      <c r="B83" s="218"/>
      <c r="C83" s="218">
        <f>SUM(C46:C49)/C69</f>
        <v>0.27362282485931072</v>
      </c>
      <c r="D83" s="9"/>
    </row>
    <row r="84" spans="1:13">
      <c r="A84" s="214" t="s">
        <v>230</v>
      </c>
      <c r="B84" s="218"/>
      <c r="C84" s="218">
        <f>SUM(C65:C68)/C69</f>
        <v>3.8304409347440026E-2</v>
      </c>
      <c r="D84" s="9"/>
    </row>
  </sheetData>
  <mergeCells count="11">
    <mergeCell ref="A28:A33"/>
    <mergeCell ref="A1:D1"/>
    <mergeCell ref="F1:M1"/>
    <mergeCell ref="A3:A5"/>
    <mergeCell ref="A7:A8"/>
    <mergeCell ref="A23:A27"/>
    <mergeCell ref="A35:A45"/>
    <mergeCell ref="A46:A68"/>
    <mergeCell ref="B46:B49"/>
    <mergeCell ref="B50:B64"/>
    <mergeCell ref="B65:B6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31B09-F513-4981-AF11-89015782E61B}">
  <dimension ref="A1:CG19"/>
  <sheetViews>
    <sheetView topLeftCell="AO1" workbookViewId="0">
      <selection activeCell="G3" sqref="G3:J11"/>
    </sheetView>
  </sheetViews>
  <sheetFormatPr defaultRowHeight="14.5"/>
  <cols>
    <col min="4" max="4" width="19.36328125" customWidth="1"/>
    <col min="6" max="6" width="12.6328125" customWidth="1"/>
    <col min="7" max="7" width="13" customWidth="1"/>
    <col min="8" max="8" width="12.6328125" customWidth="1"/>
    <col min="9" max="9" width="15.81640625" customWidth="1"/>
    <col min="10" max="10" width="14" customWidth="1"/>
    <col min="13" max="13" width="12.453125" customWidth="1"/>
    <col min="47" max="47" width="10.26953125" customWidth="1"/>
    <col min="48" max="48" width="12.453125" customWidth="1"/>
    <col min="49" max="49" width="35.36328125" customWidth="1"/>
    <col min="50" max="50" width="14" customWidth="1"/>
    <col min="51" max="51" width="12.81640625" customWidth="1"/>
    <col min="52" max="52" width="11.453125" customWidth="1"/>
  </cols>
  <sheetData>
    <row r="1" spans="1:85">
      <c r="A1" s="219" t="s">
        <v>88</v>
      </c>
      <c r="B1" s="220" t="s">
        <v>8</v>
      </c>
      <c r="C1" s="220" t="s">
        <v>9</v>
      </c>
      <c r="D1" s="221" t="s">
        <v>89</v>
      </c>
      <c r="E1" s="220" t="s">
        <v>90</v>
      </c>
      <c r="F1" s="222" t="s">
        <v>231</v>
      </c>
      <c r="G1" s="220" t="s">
        <v>91</v>
      </c>
      <c r="H1" s="220" t="s">
        <v>92</v>
      </c>
      <c r="I1" s="223" t="s">
        <v>93</v>
      </c>
      <c r="J1" s="220" t="s">
        <v>133</v>
      </c>
      <c r="K1" s="220" t="s">
        <v>95</v>
      </c>
      <c r="L1" s="220" t="s">
        <v>96</v>
      </c>
      <c r="M1" s="224" t="s">
        <v>232</v>
      </c>
      <c r="N1" s="220" t="s">
        <v>98</v>
      </c>
      <c r="O1" s="220" t="s">
        <v>99</v>
      </c>
      <c r="P1" s="375" t="s">
        <v>100</v>
      </c>
      <c r="Q1" s="372"/>
      <c r="R1" s="372"/>
      <c r="S1" s="372"/>
      <c r="T1" s="373"/>
      <c r="U1" s="376" t="s">
        <v>20</v>
      </c>
      <c r="V1" s="372"/>
      <c r="W1" s="372"/>
      <c r="X1" s="372"/>
      <c r="Y1" s="373"/>
      <c r="Z1" s="377" t="s">
        <v>101</v>
      </c>
      <c r="AA1" s="372"/>
      <c r="AB1" s="373"/>
      <c r="AC1" s="378" t="s">
        <v>102</v>
      </c>
      <c r="AD1" s="372"/>
      <c r="AE1" s="373"/>
      <c r="AF1" s="379" t="s">
        <v>103</v>
      </c>
      <c r="AG1" s="372"/>
      <c r="AH1" s="373"/>
      <c r="AI1" s="380" t="s">
        <v>104</v>
      </c>
      <c r="AJ1" s="372"/>
      <c r="AK1" s="373"/>
      <c r="AL1" s="371" t="s">
        <v>105</v>
      </c>
      <c r="AM1" s="372"/>
      <c r="AN1" s="373"/>
      <c r="AO1" s="371" t="s">
        <v>106</v>
      </c>
      <c r="AP1" s="372"/>
      <c r="AQ1" s="373"/>
      <c r="AR1" s="371" t="s">
        <v>233</v>
      </c>
      <c r="AS1" s="372"/>
      <c r="AT1" s="373"/>
      <c r="AU1" s="220" t="s">
        <v>107</v>
      </c>
      <c r="AV1" s="220" t="s">
        <v>108</v>
      </c>
      <c r="AW1" s="225" t="s">
        <v>109</v>
      </c>
      <c r="AX1" s="226" t="s">
        <v>234</v>
      </c>
      <c r="AY1" s="220" t="s">
        <v>111</v>
      </c>
      <c r="AZ1" s="227" t="s">
        <v>235</v>
      </c>
      <c r="BA1" s="374" t="s">
        <v>136</v>
      </c>
    </row>
    <row r="2" spans="1:85">
      <c r="A2" s="228"/>
      <c r="B2" s="229"/>
      <c r="C2" s="229"/>
      <c r="D2" s="230"/>
      <c r="E2" s="229"/>
      <c r="F2" s="229"/>
      <c r="G2" s="231">
        <f>SUM(G4:G19)</f>
        <v>61200000</v>
      </c>
      <c r="H2" s="231">
        <f t="shared" ref="H2:AX2" si="0">SUM(H4:H19)</f>
        <v>57500000</v>
      </c>
      <c r="I2" s="231">
        <f t="shared" si="0"/>
        <v>57500000</v>
      </c>
      <c r="J2" s="231">
        <f t="shared" si="0"/>
        <v>3500000</v>
      </c>
      <c r="K2" s="231">
        <f t="shared" si="0"/>
        <v>480</v>
      </c>
      <c r="L2" s="231">
        <f t="shared" si="0"/>
        <v>480</v>
      </c>
      <c r="M2" s="231">
        <f t="shared" si="0"/>
        <v>0</v>
      </c>
      <c r="N2" s="231">
        <f t="shared" si="0"/>
        <v>0</v>
      </c>
      <c r="O2" s="231">
        <f t="shared" si="0"/>
        <v>27</v>
      </c>
      <c r="P2" s="231">
        <f t="shared" si="0"/>
        <v>645</v>
      </c>
      <c r="Q2" s="231">
        <f t="shared" si="0"/>
        <v>1576</v>
      </c>
      <c r="R2" s="231">
        <f t="shared" si="0"/>
        <v>931</v>
      </c>
      <c r="S2" s="231">
        <f t="shared" si="0"/>
        <v>63500</v>
      </c>
      <c r="T2" s="231">
        <f t="shared" si="0"/>
        <v>3724000</v>
      </c>
      <c r="U2" s="231">
        <f t="shared" si="0"/>
        <v>0</v>
      </c>
      <c r="V2" s="231">
        <f t="shared" si="0"/>
        <v>0</v>
      </c>
      <c r="W2" s="231">
        <f t="shared" si="0"/>
        <v>27</v>
      </c>
      <c r="X2" s="231">
        <f t="shared" si="0"/>
        <v>1800000</v>
      </c>
      <c r="Y2" s="231">
        <f t="shared" si="0"/>
        <v>3240000</v>
      </c>
      <c r="Z2" s="231">
        <f t="shared" si="0"/>
        <v>0</v>
      </c>
      <c r="AA2" s="231">
        <f t="shared" si="0"/>
        <v>0</v>
      </c>
      <c r="AB2" s="231">
        <f t="shared" si="0"/>
        <v>0</v>
      </c>
      <c r="AC2" s="231">
        <f t="shared" si="0"/>
        <v>11</v>
      </c>
      <c r="AD2" s="231">
        <f t="shared" si="0"/>
        <v>1500000</v>
      </c>
      <c r="AE2" s="231">
        <f t="shared" si="0"/>
        <v>1100000</v>
      </c>
      <c r="AF2" s="231">
        <f t="shared" si="0"/>
        <v>26</v>
      </c>
      <c r="AG2" s="231">
        <f t="shared" si="0"/>
        <v>900000</v>
      </c>
      <c r="AH2" s="231">
        <f t="shared" si="0"/>
        <v>1560000</v>
      </c>
      <c r="AI2" s="231">
        <f t="shared" si="0"/>
        <v>3</v>
      </c>
      <c r="AJ2" s="231">
        <f t="shared" si="0"/>
        <v>700000</v>
      </c>
      <c r="AK2" s="231">
        <f t="shared" si="0"/>
        <v>700000</v>
      </c>
      <c r="AL2" s="231">
        <f t="shared" si="0"/>
        <v>0</v>
      </c>
      <c r="AM2" s="231">
        <f t="shared" si="0"/>
        <v>0</v>
      </c>
      <c r="AN2" s="231">
        <f t="shared" si="0"/>
        <v>0</v>
      </c>
      <c r="AO2" s="231">
        <f t="shared" si="0"/>
        <v>27</v>
      </c>
      <c r="AP2" s="231">
        <f t="shared" si="0"/>
        <v>1800000</v>
      </c>
      <c r="AQ2" s="231">
        <f t="shared" si="0"/>
        <v>3240000</v>
      </c>
      <c r="AR2" s="231">
        <f t="shared" si="0"/>
        <v>94</v>
      </c>
      <c r="AS2" s="231">
        <f t="shared" si="0"/>
        <v>8000</v>
      </c>
      <c r="AT2" s="231">
        <f t="shared" si="0"/>
        <v>376000</v>
      </c>
      <c r="AU2" s="231">
        <f>SUM(AU4:AU19)</f>
        <v>13940000</v>
      </c>
      <c r="AV2" s="231">
        <f>SUM(AV4:AV19)</f>
        <v>74940000</v>
      </c>
      <c r="AW2" s="231">
        <f t="shared" si="0"/>
        <v>0</v>
      </c>
      <c r="AX2" s="231">
        <f t="shared" si="0"/>
        <v>74940000</v>
      </c>
      <c r="AY2" s="229"/>
      <c r="AZ2" s="232"/>
      <c r="BA2" s="374"/>
    </row>
    <row r="3" spans="1:85">
      <c r="A3" s="233"/>
      <c r="B3" s="233"/>
      <c r="C3" s="233"/>
      <c r="D3" s="234"/>
      <c r="E3" s="233"/>
      <c r="F3" s="233"/>
      <c r="G3" s="233"/>
      <c r="H3" s="233"/>
      <c r="I3" s="235"/>
      <c r="J3" s="233"/>
      <c r="K3" s="233"/>
      <c r="L3" s="233"/>
      <c r="M3" s="236" t="s">
        <v>236</v>
      </c>
      <c r="N3" s="233" t="s">
        <v>237</v>
      </c>
      <c r="O3" s="233"/>
      <c r="P3" s="237" t="s">
        <v>121</v>
      </c>
      <c r="Q3" s="237" t="s">
        <v>122</v>
      </c>
      <c r="R3" s="233" t="s">
        <v>123</v>
      </c>
      <c r="S3" s="233" t="s">
        <v>124</v>
      </c>
      <c r="T3" s="238" t="s">
        <v>125</v>
      </c>
      <c r="U3" s="237" t="s">
        <v>121</v>
      </c>
      <c r="V3" s="237" t="s">
        <v>126</v>
      </c>
      <c r="W3" s="233" t="s">
        <v>123</v>
      </c>
      <c r="X3" s="233" t="s">
        <v>124</v>
      </c>
      <c r="Y3" s="237" t="s">
        <v>125</v>
      </c>
      <c r="Z3" s="239" t="s">
        <v>123</v>
      </c>
      <c r="AA3" s="233" t="s">
        <v>124</v>
      </c>
      <c r="AB3" s="238" t="s">
        <v>125</v>
      </c>
      <c r="AC3" s="239" t="s">
        <v>123</v>
      </c>
      <c r="AD3" s="233" t="s">
        <v>124</v>
      </c>
      <c r="AE3" s="238" t="s">
        <v>125</v>
      </c>
      <c r="AF3" s="233" t="s">
        <v>123</v>
      </c>
      <c r="AG3" s="233" t="s">
        <v>124</v>
      </c>
      <c r="AH3" s="238" t="s">
        <v>125</v>
      </c>
      <c r="AI3" s="233" t="s">
        <v>123</v>
      </c>
      <c r="AJ3" s="233" t="s">
        <v>124</v>
      </c>
      <c r="AK3" s="238" t="s">
        <v>125</v>
      </c>
      <c r="AL3" s="233" t="s">
        <v>123</v>
      </c>
      <c r="AM3" s="233" t="s">
        <v>124</v>
      </c>
      <c r="AN3" s="238" t="s">
        <v>125</v>
      </c>
      <c r="AO3" s="233" t="s">
        <v>123</v>
      </c>
      <c r="AP3" s="233" t="s">
        <v>124</v>
      </c>
      <c r="AQ3" s="238" t="s">
        <v>125</v>
      </c>
      <c r="AR3" s="238" t="s">
        <v>123</v>
      </c>
      <c r="AS3" s="238" t="s">
        <v>124</v>
      </c>
      <c r="AT3" s="238" t="s">
        <v>125</v>
      </c>
      <c r="AU3" s="233"/>
      <c r="AV3" s="240"/>
      <c r="AW3" s="233"/>
      <c r="AX3" s="241"/>
      <c r="AY3" s="242">
        <f>AX3-AV3</f>
        <v>0</v>
      </c>
      <c r="AZ3" s="243"/>
      <c r="BA3" s="244"/>
    </row>
    <row r="4" spans="1:85" ht="19.5" customHeight="1">
      <c r="A4" s="246" t="s">
        <v>248</v>
      </c>
      <c r="B4" s="247" t="s">
        <v>144</v>
      </c>
      <c r="C4" s="248">
        <v>0</v>
      </c>
      <c r="D4" s="249" t="s">
        <v>238</v>
      </c>
      <c r="E4" s="248">
        <v>1</v>
      </c>
      <c r="F4" s="250"/>
      <c r="G4" s="250"/>
      <c r="H4" s="250"/>
      <c r="I4" s="250"/>
      <c r="J4" s="251"/>
      <c r="K4" s="248">
        <v>30</v>
      </c>
      <c r="L4" s="248">
        <v>30</v>
      </c>
      <c r="M4" s="252"/>
      <c r="N4" s="253"/>
      <c r="O4" s="254"/>
      <c r="P4" s="248"/>
      <c r="Q4" s="248"/>
      <c r="R4" s="248"/>
      <c r="S4" s="253">
        <v>3500</v>
      </c>
      <c r="T4" s="253">
        <f t="shared" ref="T4:T19" si="1">R4*S4</f>
        <v>0</v>
      </c>
      <c r="U4" s="248"/>
      <c r="V4" s="248"/>
      <c r="W4" s="254"/>
      <c r="X4" s="248"/>
      <c r="Y4" s="248"/>
      <c r="Z4" s="254"/>
      <c r="AA4" s="248"/>
      <c r="AB4" s="248"/>
      <c r="AC4" s="247"/>
      <c r="AD4" s="248"/>
      <c r="AE4" s="248"/>
      <c r="AF4" s="248"/>
      <c r="AG4" s="248"/>
      <c r="AH4" s="248"/>
      <c r="AI4" s="248"/>
      <c r="AJ4" s="248"/>
      <c r="AK4" s="248"/>
      <c r="AL4" s="254"/>
      <c r="AM4" s="248"/>
      <c r="AN4" s="255"/>
      <c r="AO4" s="248"/>
      <c r="AP4" s="248"/>
      <c r="AQ4" s="256"/>
      <c r="AR4" s="248"/>
      <c r="AS4" s="248"/>
      <c r="AT4" s="256"/>
      <c r="AU4" s="257">
        <f t="shared" ref="AU4:AU19" si="2">(SUM(T4,Y4,AB4,AE4,AH4,AK4,AN4,AQ4,AT4))</f>
        <v>0</v>
      </c>
      <c r="AV4" s="258">
        <f t="shared" ref="AV4:AV19" si="3">AU4+I4*E4+J4+M4+N4</f>
        <v>0</v>
      </c>
      <c r="AW4" s="248"/>
      <c r="AX4" s="300"/>
      <c r="AY4" s="260" t="str">
        <f t="shared" ref="AY4:AY19" si="4">IF(AND(AV4&gt;0,AX4=0),"Chưa TT",IF(AX4-AV4&gt;0,"Thừa",IF(AND(AV4=0,AX4=0),"Trống",IF(AND(AX4&gt;0,AV4=0),"Đóng cọc",IF(AX4-AV4&lt;0,"Thiếu",IF(AX4-AV4=0,"Đủ",0))))))</f>
        <v>Trống</v>
      </c>
      <c r="AZ4" s="261">
        <f t="shared" ref="AZ4:AZ19" si="5">AX4-AV4</f>
        <v>0</v>
      </c>
      <c r="BA4" s="262"/>
      <c r="BB4" s="253"/>
      <c r="BC4" s="248"/>
      <c r="BD4" s="248"/>
      <c r="BE4" s="248"/>
      <c r="BF4" s="248"/>
      <c r="BG4" s="248"/>
      <c r="BH4" s="248"/>
      <c r="BI4" s="248"/>
      <c r="BJ4" s="248"/>
      <c r="BK4" s="248"/>
      <c r="BL4" s="253"/>
      <c r="BM4" s="248"/>
      <c r="BN4" s="248"/>
      <c r="BO4" s="248"/>
      <c r="BP4" s="248"/>
      <c r="BQ4" s="248"/>
      <c r="BR4" s="248"/>
      <c r="BS4" s="263"/>
      <c r="BT4" s="248"/>
      <c r="BU4" s="263"/>
      <c r="BV4" s="248"/>
      <c r="BW4" s="248"/>
      <c r="BX4" s="248"/>
      <c r="BY4" s="248"/>
      <c r="BZ4" s="248"/>
      <c r="CA4" s="248"/>
      <c r="CB4" s="248"/>
      <c r="CC4" s="248"/>
      <c r="CD4" s="248"/>
      <c r="CE4" s="248"/>
      <c r="CF4" s="248"/>
      <c r="CG4" s="248"/>
    </row>
    <row r="5" spans="1:85" ht="19.5" customHeight="1">
      <c r="A5" s="277" t="s">
        <v>37</v>
      </c>
      <c r="B5" s="277" t="s">
        <v>144</v>
      </c>
      <c r="C5" s="278">
        <v>101</v>
      </c>
      <c r="D5" s="278" t="s">
        <v>238</v>
      </c>
      <c r="E5" s="278">
        <v>1</v>
      </c>
      <c r="F5" s="279">
        <v>3500000</v>
      </c>
      <c r="G5" s="280">
        <v>3600000</v>
      </c>
      <c r="H5" s="279">
        <v>3500000</v>
      </c>
      <c r="I5" s="279">
        <v>3500000</v>
      </c>
      <c r="J5" s="279">
        <v>3500000</v>
      </c>
      <c r="K5" s="278">
        <v>30</v>
      </c>
      <c r="L5" s="278">
        <v>30</v>
      </c>
      <c r="M5" s="281"/>
      <c r="N5" s="282"/>
      <c r="O5" s="283">
        <v>1</v>
      </c>
      <c r="P5" s="278">
        <v>116</v>
      </c>
      <c r="Q5" s="278">
        <v>116</v>
      </c>
      <c r="R5" s="278">
        <f t="shared" ref="R5:R19" si="6">Q5-P5</f>
        <v>0</v>
      </c>
      <c r="S5" s="282">
        <v>4000</v>
      </c>
      <c r="T5" s="282">
        <f t="shared" si="1"/>
        <v>0</v>
      </c>
      <c r="U5" s="278"/>
      <c r="V5" s="278"/>
      <c r="W5" s="283">
        <v>1</v>
      </c>
      <c r="X5" s="278">
        <v>120000</v>
      </c>
      <c r="Y5" s="278">
        <f t="shared" ref="Y5:Y19" si="7">W5*X5</f>
        <v>120000</v>
      </c>
      <c r="Z5" s="283"/>
      <c r="AA5" s="278"/>
      <c r="AB5" s="278"/>
      <c r="AC5" s="277">
        <v>1</v>
      </c>
      <c r="AD5" s="278">
        <v>100000</v>
      </c>
      <c r="AE5" s="278">
        <f t="shared" ref="AE5:AE19" si="8">AC5*AD5</f>
        <v>100000</v>
      </c>
      <c r="AF5" s="278">
        <v>1</v>
      </c>
      <c r="AG5" s="278">
        <v>60000</v>
      </c>
      <c r="AH5" s="278">
        <f t="shared" ref="AH5:AH19" si="9">AF5*AG5</f>
        <v>60000</v>
      </c>
      <c r="AI5" s="278"/>
      <c r="AJ5" s="278"/>
      <c r="AK5" s="278"/>
      <c r="AL5" s="283"/>
      <c r="AM5" s="278"/>
      <c r="AN5" s="284"/>
      <c r="AO5" s="278">
        <v>1</v>
      </c>
      <c r="AP5" s="278">
        <v>120000</v>
      </c>
      <c r="AQ5" s="278">
        <f t="shared" ref="AQ5:AQ19" si="10">AO5*AP5</f>
        <v>120000</v>
      </c>
      <c r="AR5" s="285"/>
      <c r="AS5" s="285"/>
      <c r="AT5" s="285">
        <f t="shared" ref="AT5:AT19" si="11">AR5*AS5</f>
        <v>0</v>
      </c>
      <c r="AU5" s="286">
        <f t="shared" si="2"/>
        <v>400000</v>
      </c>
      <c r="AV5" s="287">
        <f t="shared" si="3"/>
        <v>7400000</v>
      </c>
      <c r="AW5" s="278" t="s">
        <v>256</v>
      </c>
      <c r="AX5" s="288">
        <f>3500000+3900000</f>
        <v>7400000</v>
      </c>
      <c r="AY5" s="289" t="str">
        <f t="shared" si="4"/>
        <v>Đủ</v>
      </c>
      <c r="AZ5" s="290">
        <f t="shared" si="5"/>
        <v>0</v>
      </c>
      <c r="BA5" s="291"/>
      <c r="BB5" s="282"/>
      <c r="BC5" s="278"/>
      <c r="BD5" s="278"/>
      <c r="BE5" s="278"/>
      <c r="BF5" s="278"/>
      <c r="BG5" s="278"/>
      <c r="BH5" s="278"/>
      <c r="BI5" s="278"/>
      <c r="BJ5" s="278"/>
      <c r="BK5" s="278"/>
      <c r="BL5" s="282"/>
      <c r="BM5" s="278"/>
      <c r="BN5" s="278"/>
      <c r="BO5" s="278"/>
      <c r="BP5" s="278"/>
      <c r="BQ5" s="278"/>
      <c r="BR5" s="278"/>
      <c r="BS5" s="292"/>
      <c r="BT5" s="278"/>
      <c r="BU5" s="292"/>
      <c r="BV5" s="278"/>
      <c r="BW5" s="278"/>
      <c r="BX5" s="278"/>
      <c r="BY5" s="278"/>
      <c r="BZ5" s="278"/>
      <c r="CA5" s="278"/>
      <c r="CB5" s="278"/>
      <c r="CC5" s="278"/>
      <c r="CD5" s="278"/>
      <c r="CE5" s="278"/>
      <c r="CF5" s="278"/>
      <c r="CG5" s="278"/>
    </row>
    <row r="6" spans="1:85" ht="17.25" customHeight="1">
      <c r="A6" s="277" t="s">
        <v>38</v>
      </c>
      <c r="B6" s="277" t="s">
        <v>144</v>
      </c>
      <c r="C6" s="278">
        <v>201</v>
      </c>
      <c r="D6" s="278" t="s">
        <v>238</v>
      </c>
      <c r="E6" s="278">
        <v>1</v>
      </c>
      <c r="F6" s="282">
        <v>4100000</v>
      </c>
      <c r="G6" s="280">
        <v>4200000</v>
      </c>
      <c r="H6" s="282">
        <v>4100000</v>
      </c>
      <c r="I6" s="282">
        <v>4100000</v>
      </c>
      <c r="J6" s="282"/>
      <c r="K6" s="278">
        <v>30</v>
      </c>
      <c r="L6" s="278">
        <v>30</v>
      </c>
      <c r="M6" s="281"/>
      <c r="N6" s="282"/>
      <c r="O6" s="277">
        <v>2</v>
      </c>
      <c r="P6" s="278">
        <v>33</v>
      </c>
      <c r="Q6" s="278">
        <v>43</v>
      </c>
      <c r="R6" s="278">
        <f t="shared" si="6"/>
        <v>10</v>
      </c>
      <c r="S6" s="282">
        <v>4000</v>
      </c>
      <c r="T6" s="282">
        <f t="shared" si="1"/>
        <v>40000</v>
      </c>
      <c r="U6" s="278"/>
      <c r="V6" s="278"/>
      <c r="W6" s="283">
        <v>2</v>
      </c>
      <c r="X6" s="278">
        <v>120000</v>
      </c>
      <c r="Y6" s="278">
        <f t="shared" si="7"/>
        <v>240000</v>
      </c>
      <c r="Z6" s="277"/>
      <c r="AA6" s="278"/>
      <c r="AB6" s="278"/>
      <c r="AC6" s="278">
        <v>1</v>
      </c>
      <c r="AD6" s="278">
        <v>100000</v>
      </c>
      <c r="AE6" s="278">
        <f t="shared" si="8"/>
        <v>100000</v>
      </c>
      <c r="AF6" s="278">
        <v>2</v>
      </c>
      <c r="AG6" s="278">
        <v>60000</v>
      </c>
      <c r="AH6" s="278">
        <f t="shared" si="9"/>
        <v>120000</v>
      </c>
      <c r="AI6" s="278">
        <v>1</v>
      </c>
      <c r="AJ6" s="278">
        <v>150000</v>
      </c>
      <c r="AK6" s="278">
        <f>AI6*AJ6</f>
        <v>150000</v>
      </c>
      <c r="AL6" s="277"/>
      <c r="AM6" s="278"/>
      <c r="AN6" s="284"/>
      <c r="AO6" s="278">
        <v>2</v>
      </c>
      <c r="AP6" s="278">
        <v>120000</v>
      </c>
      <c r="AQ6" s="282">
        <f t="shared" si="10"/>
        <v>240000</v>
      </c>
      <c r="AR6" s="293"/>
      <c r="AS6" s="293"/>
      <c r="AT6" s="285">
        <f t="shared" si="11"/>
        <v>0</v>
      </c>
      <c r="AU6" s="286">
        <f t="shared" si="2"/>
        <v>890000</v>
      </c>
      <c r="AV6" s="287">
        <f t="shared" si="3"/>
        <v>4990000</v>
      </c>
      <c r="AW6" s="278"/>
      <c r="AX6" s="288">
        <v>4990000</v>
      </c>
      <c r="AY6" s="289" t="str">
        <f t="shared" si="4"/>
        <v>Đủ</v>
      </c>
      <c r="AZ6" s="290">
        <f t="shared" si="5"/>
        <v>0</v>
      </c>
      <c r="BA6" s="291"/>
      <c r="BB6" s="282"/>
      <c r="BC6" s="278"/>
      <c r="BD6" s="278"/>
      <c r="BE6" s="278"/>
      <c r="BF6" s="278"/>
      <c r="BG6" s="278"/>
      <c r="BH6" s="278"/>
      <c r="BI6" s="278"/>
      <c r="BJ6" s="278"/>
      <c r="BK6" s="278"/>
      <c r="BL6" s="282"/>
      <c r="BM6" s="278"/>
      <c r="BN6" s="278"/>
      <c r="BO6" s="278"/>
      <c r="BP6" s="278"/>
      <c r="BQ6" s="278"/>
      <c r="BR6" s="278"/>
      <c r="BS6" s="292"/>
      <c r="BT6" s="278"/>
      <c r="BU6" s="292"/>
      <c r="BV6" s="278"/>
      <c r="BW6" s="278"/>
      <c r="BX6" s="278"/>
      <c r="BY6" s="278"/>
      <c r="BZ6" s="278"/>
      <c r="CA6" s="278">
        <v>1935</v>
      </c>
      <c r="CB6" s="278">
        <v>1967</v>
      </c>
      <c r="CC6" s="278">
        <f t="shared" ref="CC6:CC10" si="12">CB6-CA6</f>
        <v>32</v>
      </c>
      <c r="CD6" s="278">
        <v>3800</v>
      </c>
      <c r="CE6" s="278">
        <f t="shared" ref="CE6:CE10" si="13">CC6*CD6</f>
        <v>121600</v>
      </c>
      <c r="CF6" s="278"/>
      <c r="CG6" s="278">
        <f t="shared" ref="CG6:CG10" si="14">CE6/3</f>
        <v>40533.333333333336</v>
      </c>
    </row>
    <row r="7" spans="1:85" ht="17.25" customHeight="1">
      <c r="A7" s="277" t="s">
        <v>39</v>
      </c>
      <c r="B7" s="277" t="s">
        <v>144</v>
      </c>
      <c r="C7" s="278">
        <v>202</v>
      </c>
      <c r="D7" s="278" t="s">
        <v>238</v>
      </c>
      <c r="E7" s="278">
        <v>1</v>
      </c>
      <c r="F7" s="282">
        <v>3800000</v>
      </c>
      <c r="G7" s="280">
        <v>4000000</v>
      </c>
      <c r="H7" s="282">
        <v>3800000</v>
      </c>
      <c r="I7" s="282">
        <v>3800000</v>
      </c>
      <c r="J7" s="282"/>
      <c r="K7" s="278">
        <v>30</v>
      </c>
      <c r="L7" s="278">
        <v>30</v>
      </c>
      <c r="M7" s="281"/>
      <c r="N7" s="282"/>
      <c r="O7" s="277">
        <v>2</v>
      </c>
      <c r="P7" s="278">
        <v>60</v>
      </c>
      <c r="Q7" s="278">
        <v>174</v>
      </c>
      <c r="R7" s="278">
        <f t="shared" si="6"/>
        <v>114</v>
      </c>
      <c r="S7" s="282">
        <v>4000</v>
      </c>
      <c r="T7" s="282">
        <f t="shared" si="1"/>
        <v>456000</v>
      </c>
      <c r="U7" s="278"/>
      <c r="V7" s="278"/>
      <c r="W7" s="283">
        <v>2</v>
      </c>
      <c r="X7" s="278">
        <v>120000</v>
      </c>
      <c r="Y7" s="278">
        <f t="shared" si="7"/>
        <v>240000</v>
      </c>
      <c r="Z7" s="277"/>
      <c r="AA7" s="278"/>
      <c r="AB7" s="278"/>
      <c r="AC7" s="278">
        <v>1</v>
      </c>
      <c r="AD7" s="278">
        <v>100000</v>
      </c>
      <c r="AE7" s="278">
        <f t="shared" si="8"/>
        <v>100000</v>
      </c>
      <c r="AF7" s="278">
        <v>2</v>
      </c>
      <c r="AG7" s="278">
        <v>60000</v>
      </c>
      <c r="AH7" s="278">
        <f t="shared" si="9"/>
        <v>120000</v>
      </c>
      <c r="AI7" s="278"/>
      <c r="AJ7" s="278"/>
      <c r="AK7" s="278"/>
      <c r="AL7" s="277"/>
      <c r="AM7" s="278"/>
      <c r="AN7" s="284">
        <f>AL7*AM7</f>
        <v>0</v>
      </c>
      <c r="AO7" s="278">
        <v>2</v>
      </c>
      <c r="AP7" s="278">
        <v>120000</v>
      </c>
      <c r="AQ7" s="282">
        <f t="shared" si="10"/>
        <v>240000</v>
      </c>
      <c r="AR7" s="293"/>
      <c r="AS7" s="293"/>
      <c r="AT7" s="285">
        <f t="shared" si="11"/>
        <v>0</v>
      </c>
      <c r="AU7" s="286">
        <f t="shared" si="2"/>
        <v>1156000</v>
      </c>
      <c r="AV7" s="287">
        <f t="shared" si="3"/>
        <v>4956000</v>
      </c>
      <c r="AW7" s="278"/>
      <c r="AX7" s="288">
        <v>4956000</v>
      </c>
      <c r="AY7" s="289" t="str">
        <f t="shared" si="4"/>
        <v>Đủ</v>
      </c>
      <c r="AZ7" s="290">
        <f t="shared" si="5"/>
        <v>0</v>
      </c>
      <c r="BA7" s="291"/>
      <c r="BB7" s="282"/>
      <c r="BC7" s="278"/>
      <c r="BD7" s="278"/>
      <c r="BE7" s="278"/>
      <c r="BF7" s="278"/>
      <c r="BG7" s="278"/>
      <c r="BH7" s="278"/>
      <c r="BI7" s="278"/>
      <c r="BJ7" s="278"/>
      <c r="BK7" s="278"/>
      <c r="BL7" s="282"/>
      <c r="BM7" s="278"/>
      <c r="BN7" s="278"/>
      <c r="BO7" s="278"/>
      <c r="BP7" s="278"/>
      <c r="BQ7" s="278"/>
      <c r="BR7" s="278"/>
      <c r="BS7" s="292"/>
      <c r="BT7" s="278"/>
      <c r="BU7" s="292"/>
      <c r="BV7" s="278"/>
      <c r="BW7" s="278"/>
      <c r="BX7" s="278"/>
      <c r="BY7" s="278"/>
      <c r="BZ7" s="278"/>
      <c r="CA7" s="278">
        <v>1935</v>
      </c>
      <c r="CB7" s="278">
        <v>1967</v>
      </c>
      <c r="CC7" s="278">
        <f t="shared" si="12"/>
        <v>32</v>
      </c>
      <c r="CD7" s="278">
        <v>3800</v>
      </c>
      <c r="CE7" s="278">
        <f t="shared" si="13"/>
        <v>121600</v>
      </c>
      <c r="CF7" s="278"/>
      <c r="CG7" s="278">
        <f t="shared" si="14"/>
        <v>40533.333333333336</v>
      </c>
    </row>
    <row r="8" spans="1:85" ht="18" customHeight="1">
      <c r="A8" s="277" t="s">
        <v>40</v>
      </c>
      <c r="B8" s="277" t="s">
        <v>144</v>
      </c>
      <c r="C8" s="278">
        <v>203</v>
      </c>
      <c r="D8" s="278" t="s">
        <v>238</v>
      </c>
      <c r="E8" s="278">
        <v>1</v>
      </c>
      <c r="F8" s="282">
        <v>3800000</v>
      </c>
      <c r="G8" s="280">
        <v>4300000</v>
      </c>
      <c r="H8" s="282">
        <v>3800000</v>
      </c>
      <c r="I8" s="282">
        <v>3800000</v>
      </c>
      <c r="J8" s="282"/>
      <c r="K8" s="278">
        <v>30</v>
      </c>
      <c r="L8" s="278">
        <v>30</v>
      </c>
      <c r="M8" s="281"/>
      <c r="N8" s="282"/>
      <c r="O8" s="277">
        <v>1</v>
      </c>
      <c r="P8" s="278">
        <v>5</v>
      </c>
      <c r="Q8" s="278">
        <v>30</v>
      </c>
      <c r="R8" s="278">
        <f t="shared" si="6"/>
        <v>25</v>
      </c>
      <c r="S8" s="282">
        <v>4000</v>
      </c>
      <c r="T8" s="282">
        <f t="shared" si="1"/>
        <v>100000</v>
      </c>
      <c r="U8" s="278"/>
      <c r="V8" s="278"/>
      <c r="W8" s="283">
        <v>1</v>
      </c>
      <c r="X8" s="278">
        <v>120000</v>
      </c>
      <c r="Y8" s="278">
        <f t="shared" si="7"/>
        <v>120000</v>
      </c>
      <c r="Z8" s="277"/>
      <c r="AA8" s="278"/>
      <c r="AB8" s="278"/>
      <c r="AC8" s="278"/>
      <c r="AD8" s="278">
        <v>100000</v>
      </c>
      <c r="AE8" s="278">
        <f t="shared" si="8"/>
        <v>0</v>
      </c>
      <c r="AF8" s="278"/>
      <c r="AG8" s="278">
        <v>60000</v>
      </c>
      <c r="AH8" s="278">
        <f t="shared" si="9"/>
        <v>0</v>
      </c>
      <c r="AI8" s="278"/>
      <c r="AJ8" s="278"/>
      <c r="AK8" s="278"/>
      <c r="AL8" s="277"/>
      <c r="AM8" s="278"/>
      <c r="AN8" s="284"/>
      <c r="AO8" s="278">
        <v>1</v>
      </c>
      <c r="AP8" s="278">
        <v>120000</v>
      </c>
      <c r="AQ8" s="282">
        <f t="shared" si="10"/>
        <v>120000</v>
      </c>
      <c r="AR8" s="293"/>
      <c r="AS8" s="293"/>
      <c r="AT8" s="285">
        <f t="shared" si="11"/>
        <v>0</v>
      </c>
      <c r="AU8" s="286">
        <f t="shared" si="2"/>
        <v>340000</v>
      </c>
      <c r="AV8" s="287">
        <f t="shared" si="3"/>
        <v>4140000</v>
      </c>
      <c r="AW8" s="278"/>
      <c r="AX8" s="288">
        <v>4140000</v>
      </c>
      <c r="AY8" s="289" t="str">
        <f t="shared" si="4"/>
        <v>Đủ</v>
      </c>
      <c r="AZ8" s="290">
        <f t="shared" si="5"/>
        <v>0</v>
      </c>
      <c r="BA8" s="291"/>
      <c r="BB8" s="282"/>
      <c r="BC8" s="278"/>
      <c r="BD8" s="278"/>
      <c r="BE8" s="278"/>
      <c r="BF8" s="278"/>
      <c r="BG8" s="278"/>
      <c r="BH8" s="278"/>
      <c r="BI8" s="278"/>
      <c r="BJ8" s="278"/>
      <c r="BK8" s="278"/>
      <c r="BL8" s="282"/>
      <c r="BM8" s="278"/>
      <c r="BN8" s="278"/>
      <c r="BO8" s="278"/>
      <c r="BP8" s="278"/>
      <c r="BQ8" s="278"/>
      <c r="BR8" s="278"/>
      <c r="BS8" s="292"/>
      <c r="BT8" s="278"/>
      <c r="BU8" s="292"/>
      <c r="BV8" s="278"/>
      <c r="BW8" s="278"/>
      <c r="BX8" s="278"/>
      <c r="BY8" s="278"/>
      <c r="BZ8" s="278"/>
      <c r="CA8" s="278">
        <v>144</v>
      </c>
      <c r="CB8" s="278">
        <v>209</v>
      </c>
      <c r="CC8" s="278">
        <f t="shared" si="12"/>
        <v>65</v>
      </c>
      <c r="CD8" s="278">
        <v>3800</v>
      </c>
      <c r="CE8" s="278">
        <f t="shared" si="13"/>
        <v>247000</v>
      </c>
      <c r="CF8" s="278"/>
      <c r="CG8" s="278">
        <f t="shared" si="14"/>
        <v>82333.333333333328</v>
      </c>
    </row>
    <row r="9" spans="1:85" ht="17.25" customHeight="1">
      <c r="A9" s="277" t="s">
        <v>41</v>
      </c>
      <c r="B9" s="277" t="s">
        <v>144</v>
      </c>
      <c r="C9" s="278">
        <v>301</v>
      </c>
      <c r="D9" s="278" t="s">
        <v>238</v>
      </c>
      <c r="E9" s="278">
        <v>1</v>
      </c>
      <c r="F9" s="282">
        <v>3900000</v>
      </c>
      <c r="G9" s="280">
        <v>4200000</v>
      </c>
      <c r="H9" s="282">
        <v>3900000</v>
      </c>
      <c r="I9" s="282">
        <v>3900000</v>
      </c>
      <c r="J9" s="282"/>
      <c r="K9" s="278">
        <v>30</v>
      </c>
      <c r="L9" s="278">
        <v>30</v>
      </c>
      <c r="M9" s="281"/>
      <c r="N9" s="282"/>
      <c r="O9" s="277">
        <v>1</v>
      </c>
      <c r="P9" s="278">
        <v>4</v>
      </c>
      <c r="Q9" s="278">
        <v>21</v>
      </c>
      <c r="R9" s="278">
        <f t="shared" si="6"/>
        <v>17</v>
      </c>
      <c r="S9" s="282">
        <v>4000</v>
      </c>
      <c r="T9" s="282">
        <f t="shared" si="1"/>
        <v>68000</v>
      </c>
      <c r="U9" s="278"/>
      <c r="V9" s="278"/>
      <c r="W9" s="283">
        <v>1</v>
      </c>
      <c r="X9" s="278">
        <v>120000</v>
      </c>
      <c r="Y9" s="278">
        <f t="shared" si="7"/>
        <v>120000</v>
      </c>
      <c r="Z9" s="277"/>
      <c r="AA9" s="278"/>
      <c r="AB9" s="278"/>
      <c r="AC9" s="278">
        <v>1</v>
      </c>
      <c r="AD9" s="278">
        <v>100000</v>
      </c>
      <c r="AE9" s="278">
        <f t="shared" si="8"/>
        <v>100000</v>
      </c>
      <c r="AF9" s="278">
        <v>1</v>
      </c>
      <c r="AG9" s="278">
        <v>60000</v>
      </c>
      <c r="AH9" s="278">
        <f t="shared" si="9"/>
        <v>60000</v>
      </c>
      <c r="AI9" s="278">
        <v>1</v>
      </c>
      <c r="AJ9" s="278">
        <v>150000</v>
      </c>
      <c r="AK9" s="278">
        <f>AI9*AJ9</f>
        <v>150000</v>
      </c>
      <c r="AL9" s="277"/>
      <c r="AM9" s="278"/>
      <c r="AN9" s="284"/>
      <c r="AO9" s="278">
        <v>1</v>
      </c>
      <c r="AP9" s="278">
        <v>120000</v>
      </c>
      <c r="AQ9" s="282">
        <f t="shared" si="10"/>
        <v>120000</v>
      </c>
      <c r="AR9" s="293"/>
      <c r="AS9" s="293"/>
      <c r="AT9" s="285">
        <f t="shared" si="11"/>
        <v>0</v>
      </c>
      <c r="AU9" s="286">
        <f t="shared" si="2"/>
        <v>618000</v>
      </c>
      <c r="AV9" s="287">
        <f t="shared" si="3"/>
        <v>4518000</v>
      </c>
      <c r="AW9" s="278"/>
      <c r="AX9" s="288">
        <v>4518000</v>
      </c>
      <c r="AY9" s="289" t="str">
        <f t="shared" si="4"/>
        <v>Đủ</v>
      </c>
      <c r="AZ9" s="290">
        <f t="shared" si="5"/>
        <v>0</v>
      </c>
      <c r="BA9" s="291"/>
      <c r="BB9" s="282"/>
      <c r="BC9" s="278"/>
      <c r="BD9" s="278"/>
      <c r="BE9" s="278"/>
      <c r="BF9" s="278"/>
      <c r="BG9" s="278"/>
      <c r="BH9" s="278"/>
      <c r="BI9" s="278"/>
      <c r="BJ9" s="278"/>
      <c r="BK9" s="278"/>
      <c r="BL9" s="282"/>
      <c r="BM9" s="278"/>
      <c r="BN9" s="278"/>
      <c r="BO9" s="278"/>
      <c r="BP9" s="278"/>
      <c r="BQ9" s="278"/>
      <c r="BR9" s="278"/>
      <c r="BS9" s="292"/>
      <c r="BT9" s="278"/>
      <c r="BU9" s="292"/>
      <c r="BV9" s="278"/>
      <c r="BW9" s="278"/>
      <c r="BX9" s="278"/>
      <c r="BY9" s="278"/>
      <c r="BZ9" s="278"/>
      <c r="CA9" s="278">
        <v>144</v>
      </c>
      <c r="CB9" s="278">
        <v>209</v>
      </c>
      <c r="CC9" s="278">
        <f t="shared" si="12"/>
        <v>65</v>
      </c>
      <c r="CD9" s="278">
        <v>3800</v>
      </c>
      <c r="CE9" s="278">
        <f t="shared" si="13"/>
        <v>247000</v>
      </c>
      <c r="CF9" s="278"/>
      <c r="CG9" s="278">
        <f t="shared" si="14"/>
        <v>82333.333333333328</v>
      </c>
    </row>
    <row r="10" spans="1:85" ht="15.75" customHeight="1">
      <c r="A10" s="277" t="s">
        <v>42</v>
      </c>
      <c r="B10" s="277" t="s">
        <v>144</v>
      </c>
      <c r="C10" s="278">
        <v>302</v>
      </c>
      <c r="D10" s="278" t="s">
        <v>238</v>
      </c>
      <c r="E10" s="278">
        <v>1</v>
      </c>
      <c r="F10" s="279">
        <v>3800000</v>
      </c>
      <c r="G10" s="280">
        <v>4000000</v>
      </c>
      <c r="H10" s="279">
        <v>3800000</v>
      </c>
      <c r="I10" s="279">
        <v>3800000</v>
      </c>
      <c r="J10" s="294"/>
      <c r="K10" s="278">
        <v>30</v>
      </c>
      <c r="L10" s="278">
        <v>30</v>
      </c>
      <c r="M10" s="281"/>
      <c r="N10" s="282"/>
      <c r="O10" s="277">
        <v>2</v>
      </c>
      <c r="P10" s="278">
        <v>53</v>
      </c>
      <c r="Q10" s="278">
        <v>101</v>
      </c>
      <c r="R10" s="278">
        <f t="shared" si="6"/>
        <v>48</v>
      </c>
      <c r="S10" s="282">
        <v>4000</v>
      </c>
      <c r="T10" s="282">
        <f t="shared" si="1"/>
        <v>192000</v>
      </c>
      <c r="U10" s="278"/>
      <c r="V10" s="278"/>
      <c r="W10" s="283">
        <v>2</v>
      </c>
      <c r="X10" s="278">
        <v>120000</v>
      </c>
      <c r="Y10" s="278">
        <f t="shared" si="7"/>
        <v>240000</v>
      </c>
      <c r="Z10" s="277"/>
      <c r="AA10" s="278"/>
      <c r="AB10" s="278"/>
      <c r="AC10" s="278">
        <v>1</v>
      </c>
      <c r="AD10" s="278">
        <v>100000</v>
      </c>
      <c r="AE10" s="278">
        <f t="shared" si="8"/>
        <v>100000</v>
      </c>
      <c r="AF10" s="278">
        <v>2</v>
      </c>
      <c r="AG10" s="278">
        <v>60000</v>
      </c>
      <c r="AH10" s="278">
        <f t="shared" si="9"/>
        <v>120000</v>
      </c>
      <c r="AI10" s="278"/>
      <c r="AJ10" s="278"/>
      <c r="AK10" s="278"/>
      <c r="AL10" s="277"/>
      <c r="AM10" s="278"/>
      <c r="AN10" s="284"/>
      <c r="AO10" s="278">
        <v>2</v>
      </c>
      <c r="AP10" s="278">
        <v>120000</v>
      </c>
      <c r="AQ10" s="282">
        <f t="shared" si="10"/>
        <v>240000</v>
      </c>
      <c r="AR10" s="293"/>
      <c r="AS10" s="293"/>
      <c r="AT10" s="285">
        <f t="shared" si="11"/>
        <v>0</v>
      </c>
      <c r="AU10" s="286">
        <f t="shared" si="2"/>
        <v>892000</v>
      </c>
      <c r="AV10" s="287">
        <f t="shared" si="3"/>
        <v>4692000</v>
      </c>
      <c r="AW10" s="278"/>
      <c r="AX10" s="288">
        <v>4692000</v>
      </c>
      <c r="AY10" s="289" t="str">
        <f t="shared" si="4"/>
        <v>Đủ</v>
      </c>
      <c r="AZ10" s="290">
        <f t="shared" si="5"/>
        <v>0</v>
      </c>
      <c r="BA10" s="291"/>
      <c r="BB10" s="282"/>
      <c r="BC10" s="278"/>
      <c r="BD10" s="278"/>
      <c r="BE10" s="278"/>
      <c r="BF10" s="278"/>
      <c r="BG10" s="278"/>
      <c r="BH10" s="278"/>
      <c r="BI10" s="278"/>
      <c r="BJ10" s="278"/>
      <c r="BK10" s="278"/>
      <c r="BL10" s="282"/>
      <c r="BM10" s="278"/>
      <c r="BN10" s="278"/>
      <c r="BO10" s="278"/>
      <c r="BP10" s="278"/>
      <c r="BQ10" s="278"/>
      <c r="BR10" s="278"/>
      <c r="BS10" s="292"/>
      <c r="BT10" s="278"/>
      <c r="BU10" s="292"/>
      <c r="BV10" s="278"/>
      <c r="BW10" s="278"/>
      <c r="BX10" s="278"/>
      <c r="BY10" s="278"/>
      <c r="BZ10" s="278"/>
      <c r="CA10" s="278">
        <v>144</v>
      </c>
      <c r="CB10" s="278">
        <v>209</v>
      </c>
      <c r="CC10" s="278">
        <f t="shared" si="12"/>
        <v>65</v>
      </c>
      <c r="CD10" s="278">
        <v>3800</v>
      </c>
      <c r="CE10" s="278">
        <f t="shared" si="13"/>
        <v>247000</v>
      </c>
      <c r="CF10" s="278"/>
      <c r="CG10" s="278">
        <f t="shared" si="14"/>
        <v>82333.333333333328</v>
      </c>
    </row>
    <row r="11" spans="1:85" ht="19.5" customHeight="1">
      <c r="A11" s="277" t="s">
        <v>43</v>
      </c>
      <c r="B11" s="277" t="s">
        <v>144</v>
      </c>
      <c r="C11" s="278">
        <v>303</v>
      </c>
      <c r="D11" s="278" t="s">
        <v>238</v>
      </c>
      <c r="E11" s="278">
        <v>1</v>
      </c>
      <c r="F11" s="279">
        <v>4000000</v>
      </c>
      <c r="G11" s="280">
        <v>4300000</v>
      </c>
      <c r="H11" s="279">
        <v>4000000</v>
      </c>
      <c r="I11" s="279">
        <v>4000000</v>
      </c>
      <c r="J11" s="294"/>
      <c r="K11" s="278">
        <v>30</v>
      </c>
      <c r="L11" s="278">
        <v>30</v>
      </c>
      <c r="M11" s="281"/>
      <c r="N11" s="282"/>
      <c r="O11" s="283">
        <v>3</v>
      </c>
      <c r="P11" s="278">
        <v>128</v>
      </c>
      <c r="Q11" s="278">
        <v>294</v>
      </c>
      <c r="R11" s="278">
        <f t="shared" si="6"/>
        <v>166</v>
      </c>
      <c r="S11" s="282">
        <v>4000</v>
      </c>
      <c r="T11" s="282">
        <f t="shared" si="1"/>
        <v>664000</v>
      </c>
      <c r="U11" s="278"/>
      <c r="V11" s="278"/>
      <c r="W11" s="283">
        <v>3</v>
      </c>
      <c r="X11" s="278">
        <v>120000</v>
      </c>
      <c r="Y11" s="278">
        <f t="shared" si="7"/>
        <v>360000</v>
      </c>
      <c r="Z11" s="283"/>
      <c r="AA11" s="278"/>
      <c r="AB11" s="278">
        <f t="shared" ref="AB11:AB12" si="15">Z11*AA11</f>
        <v>0</v>
      </c>
      <c r="AC11" s="277"/>
      <c r="AD11" s="278">
        <v>100000</v>
      </c>
      <c r="AE11" s="278">
        <f t="shared" si="8"/>
        <v>0</v>
      </c>
      <c r="AF11" s="278">
        <v>3</v>
      </c>
      <c r="AG11" s="278">
        <v>60000</v>
      </c>
      <c r="AH11" s="278">
        <f t="shared" si="9"/>
        <v>180000</v>
      </c>
      <c r="AI11" s="278"/>
      <c r="AJ11" s="278"/>
      <c r="AK11" s="278"/>
      <c r="AL11" s="283"/>
      <c r="AM11" s="278"/>
      <c r="AN11" s="284"/>
      <c r="AO11" s="278">
        <v>3</v>
      </c>
      <c r="AP11" s="278">
        <v>120000</v>
      </c>
      <c r="AQ11" s="278">
        <f t="shared" si="10"/>
        <v>360000</v>
      </c>
      <c r="AR11" s="285"/>
      <c r="AS11" s="285"/>
      <c r="AT11" s="285">
        <f t="shared" si="11"/>
        <v>0</v>
      </c>
      <c r="AU11" s="286">
        <f t="shared" si="2"/>
        <v>1564000</v>
      </c>
      <c r="AV11" s="287">
        <f t="shared" si="3"/>
        <v>5564000</v>
      </c>
      <c r="AW11" s="278"/>
      <c r="AX11" s="288">
        <v>5564000</v>
      </c>
      <c r="AY11" s="289" t="str">
        <f t="shared" si="4"/>
        <v>Đủ</v>
      </c>
      <c r="AZ11" s="290">
        <f t="shared" si="5"/>
        <v>0</v>
      </c>
      <c r="BA11" s="291"/>
      <c r="BB11" s="282"/>
      <c r="BC11" s="278"/>
      <c r="BD11" s="278"/>
      <c r="BE11" s="278"/>
      <c r="BF11" s="278"/>
      <c r="BG11" s="278"/>
      <c r="BH11" s="278"/>
      <c r="BI11" s="278"/>
      <c r="BJ11" s="278"/>
      <c r="BK11" s="278"/>
      <c r="BL11" s="282"/>
      <c r="BM11" s="278"/>
      <c r="BN11" s="278"/>
      <c r="BO11" s="278"/>
      <c r="BP11" s="278"/>
      <c r="BQ11" s="278"/>
      <c r="BR11" s="278"/>
      <c r="BS11" s="292"/>
      <c r="BT11" s="278"/>
      <c r="BU11" s="292"/>
      <c r="BV11" s="278"/>
      <c r="BW11" s="278"/>
      <c r="BX11" s="278"/>
      <c r="BY11" s="278"/>
      <c r="BZ11" s="278"/>
      <c r="CA11" s="278"/>
      <c r="CB11" s="278"/>
      <c r="CC11" s="278"/>
      <c r="CD11" s="278"/>
      <c r="CE11" s="278"/>
      <c r="CF11" s="278"/>
      <c r="CG11" s="278"/>
    </row>
    <row r="12" spans="1:85" ht="21.75" customHeight="1">
      <c r="A12" s="277" t="s">
        <v>44</v>
      </c>
      <c r="B12" s="277" t="s">
        <v>144</v>
      </c>
      <c r="C12" s="278">
        <v>304</v>
      </c>
      <c r="D12" s="278" t="s">
        <v>238</v>
      </c>
      <c r="E12" s="278">
        <v>1</v>
      </c>
      <c r="F12" s="279">
        <v>4100000</v>
      </c>
      <c r="G12" s="280">
        <v>4400000</v>
      </c>
      <c r="H12" s="279">
        <v>4100000</v>
      </c>
      <c r="I12" s="279">
        <v>4100000</v>
      </c>
      <c r="J12" s="294"/>
      <c r="K12" s="295">
        <v>30</v>
      </c>
      <c r="L12" s="278">
        <v>30</v>
      </c>
      <c r="M12" s="281"/>
      <c r="N12" s="282"/>
      <c r="O12" s="296">
        <v>2</v>
      </c>
      <c r="P12" s="278">
        <v>48</v>
      </c>
      <c r="Q12" s="278">
        <v>110</v>
      </c>
      <c r="R12" s="278">
        <f t="shared" si="6"/>
        <v>62</v>
      </c>
      <c r="S12" s="282">
        <v>4000</v>
      </c>
      <c r="T12" s="282">
        <f t="shared" si="1"/>
        <v>248000</v>
      </c>
      <c r="U12" s="278"/>
      <c r="V12" s="278"/>
      <c r="W12" s="283">
        <v>2</v>
      </c>
      <c r="X12" s="278">
        <v>120000</v>
      </c>
      <c r="Y12" s="278">
        <f t="shared" si="7"/>
        <v>240000</v>
      </c>
      <c r="Z12" s="296"/>
      <c r="AA12" s="278"/>
      <c r="AB12" s="278">
        <f t="shared" si="15"/>
        <v>0</v>
      </c>
      <c r="AC12" s="277">
        <v>1</v>
      </c>
      <c r="AD12" s="278">
        <v>100000</v>
      </c>
      <c r="AE12" s="278">
        <f t="shared" si="8"/>
        <v>100000</v>
      </c>
      <c r="AF12" s="278">
        <v>2</v>
      </c>
      <c r="AG12" s="278">
        <v>60000</v>
      </c>
      <c r="AH12" s="278">
        <f t="shared" si="9"/>
        <v>120000</v>
      </c>
      <c r="AI12" s="278"/>
      <c r="AJ12" s="278"/>
      <c r="AK12" s="278"/>
      <c r="AL12" s="296"/>
      <c r="AM12" s="278"/>
      <c r="AN12" s="284"/>
      <c r="AO12" s="278">
        <v>2</v>
      </c>
      <c r="AP12" s="278">
        <v>120000</v>
      </c>
      <c r="AQ12" s="278">
        <f t="shared" si="10"/>
        <v>240000</v>
      </c>
      <c r="AR12" s="285"/>
      <c r="AS12" s="285"/>
      <c r="AT12" s="285">
        <f t="shared" si="11"/>
        <v>0</v>
      </c>
      <c r="AU12" s="286">
        <f t="shared" si="2"/>
        <v>948000</v>
      </c>
      <c r="AV12" s="287">
        <f t="shared" si="3"/>
        <v>5048000</v>
      </c>
      <c r="AW12" s="278"/>
      <c r="AX12" s="288">
        <v>5048000</v>
      </c>
      <c r="AY12" s="289" t="str">
        <f t="shared" si="4"/>
        <v>Đủ</v>
      </c>
      <c r="AZ12" s="290">
        <f t="shared" si="5"/>
        <v>0</v>
      </c>
      <c r="BA12" s="291"/>
      <c r="BB12" s="282"/>
      <c r="BC12" s="278"/>
      <c r="BD12" s="278"/>
      <c r="BE12" s="278"/>
      <c r="BF12" s="278"/>
      <c r="BG12" s="278"/>
      <c r="BH12" s="278"/>
      <c r="BI12" s="278"/>
      <c r="BJ12" s="278"/>
      <c r="BK12" s="278"/>
      <c r="BL12" s="282"/>
      <c r="BM12" s="278"/>
      <c r="BN12" s="278"/>
      <c r="BO12" s="278"/>
      <c r="BP12" s="278"/>
      <c r="BQ12" s="278"/>
      <c r="BR12" s="278"/>
      <c r="BS12" s="292"/>
      <c r="BT12" s="278"/>
      <c r="BU12" s="292"/>
      <c r="BV12" s="278"/>
      <c r="BW12" s="278"/>
      <c r="BX12" s="278"/>
      <c r="BY12" s="278"/>
      <c r="BZ12" s="278"/>
      <c r="CA12" s="278"/>
      <c r="CB12" s="278"/>
      <c r="CC12" s="278"/>
      <c r="CD12" s="278"/>
      <c r="CE12" s="278"/>
      <c r="CF12" s="278"/>
      <c r="CG12" s="278"/>
    </row>
    <row r="13" spans="1:85" ht="21.75" customHeight="1">
      <c r="A13" s="277" t="s">
        <v>45</v>
      </c>
      <c r="B13" s="277" t="s">
        <v>144</v>
      </c>
      <c r="C13" s="278">
        <v>401</v>
      </c>
      <c r="D13" s="278" t="s">
        <v>238</v>
      </c>
      <c r="E13" s="278">
        <v>1</v>
      </c>
      <c r="F13" s="280">
        <v>4100000</v>
      </c>
      <c r="G13" s="280">
        <f>4200000+200000</f>
        <v>4400000</v>
      </c>
      <c r="H13" s="280">
        <v>4100000</v>
      </c>
      <c r="I13" s="280">
        <v>4100000</v>
      </c>
      <c r="J13" s="295"/>
      <c r="K13" s="295">
        <v>30</v>
      </c>
      <c r="L13" s="278">
        <v>30</v>
      </c>
      <c r="M13" s="281"/>
      <c r="N13" s="295"/>
      <c r="O13" s="296">
        <v>2</v>
      </c>
      <c r="P13" s="278">
        <v>44</v>
      </c>
      <c r="Q13" s="278">
        <v>125</v>
      </c>
      <c r="R13" s="278">
        <f t="shared" si="6"/>
        <v>81</v>
      </c>
      <c r="S13" s="282">
        <v>4000</v>
      </c>
      <c r="T13" s="282">
        <f t="shared" si="1"/>
        <v>324000</v>
      </c>
      <c r="U13" s="278"/>
      <c r="V13" s="278"/>
      <c r="W13" s="283">
        <v>2</v>
      </c>
      <c r="X13" s="278">
        <v>120000</v>
      </c>
      <c r="Y13" s="278">
        <f t="shared" si="7"/>
        <v>240000</v>
      </c>
      <c r="Z13" s="296"/>
      <c r="AA13" s="278"/>
      <c r="AB13" s="278"/>
      <c r="AC13" s="277">
        <v>1</v>
      </c>
      <c r="AD13" s="278">
        <v>100000</v>
      </c>
      <c r="AE13" s="278">
        <f t="shared" si="8"/>
        <v>100000</v>
      </c>
      <c r="AF13" s="278">
        <v>2</v>
      </c>
      <c r="AG13" s="278">
        <v>60000</v>
      </c>
      <c r="AH13" s="278">
        <f t="shared" si="9"/>
        <v>120000</v>
      </c>
      <c r="AI13" s="278"/>
      <c r="AJ13" s="278"/>
      <c r="AK13" s="278"/>
      <c r="AL13" s="296"/>
      <c r="AM13" s="278"/>
      <c r="AN13" s="284"/>
      <c r="AO13" s="278">
        <v>2</v>
      </c>
      <c r="AP13" s="278">
        <v>120000</v>
      </c>
      <c r="AQ13" s="278">
        <f t="shared" si="10"/>
        <v>240000</v>
      </c>
      <c r="AR13" s="285"/>
      <c r="AS13" s="285"/>
      <c r="AT13" s="285">
        <f t="shared" si="11"/>
        <v>0</v>
      </c>
      <c r="AU13" s="286">
        <f t="shared" si="2"/>
        <v>1024000</v>
      </c>
      <c r="AV13" s="287">
        <f t="shared" si="3"/>
        <v>5124000</v>
      </c>
      <c r="AW13" s="278"/>
      <c r="AX13" s="288">
        <f>4100000+1024000</f>
        <v>5124000</v>
      </c>
      <c r="AY13" s="289" t="str">
        <f t="shared" si="4"/>
        <v>Đủ</v>
      </c>
      <c r="AZ13" s="290">
        <f t="shared" si="5"/>
        <v>0</v>
      </c>
      <c r="BA13" s="291"/>
      <c r="BB13" s="282"/>
      <c r="BC13" s="278"/>
      <c r="BD13" s="278"/>
      <c r="BE13" s="278"/>
      <c r="BF13" s="278"/>
      <c r="BG13" s="278"/>
      <c r="BH13" s="278"/>
      <c r="BI13" s="278"/>
      <c r="BJ13" s="278"/>
      <c r="BK13" s="278"/>
      <c r="BL13" s="282"/>
      <c r="BM13" s="278"/>
      <c r="BN13" s="278"/>
      <c r="BO13" s="278"/>
      <c r="BP13" s="278"/>
      <c r="BQ13" s="278"/>
      <c r="BR13" s="278"/>
      <c r="BS13" s="292"/>
      <c r="BT13" s="278"/>
      <c r="BU13" s="292"/>
      <c r="BV13" s="278"/>
      <c r="BW13" s="278"/>
      <c r="BX13" s="278"/>
      <c r="BY13" s="278"/>
      <c r="BZ13" s="278"/>
      <c r="CA13" s="278"/>
      <c r="CB13" s="278"/>
      <c r="CC13" s="278"/>
      <c r="CD13" s="278"/>
      <c r="CE13" s="278"/>
      <c r="CF13" s="278"/>
      <c r="CG13" s="278"/>
    </row>
    <row r="14" spans="1:85" ht="21.75" customHeight="1">
      <c r="A14" s="277" t="s">
        <v>46</v>
      </c>
      <c r="B14" s="277" t="s">
        <v>144</v>
      </c>
      <c r="C14" s="278">
        <v>402</v>
      </c>
      <c r="D14" s="278" t="s">
        <v>238</v>
      </c>
      <c r="E14" s="278">
        <v>1</v>
      </c>
      <c r="F14" s="280">
        <v>3900000</v>
      </c>
      <c r="G14" s="280">
        <v>4000000</v>
      </c>
      <c r="H14" s="280">
        <v>3900000</v>
      </c>
      <c r="I14" s="280">
        <v>3900000</v>
      </c>
      <c r="J14" s="295"/>
      <c r="K14" s="278">
        <v>30</v>
      </c>
      <c r="L14" s="278">
        <v>30</v>
      </c>
      <c r="M14" s="281"/>
      <c r="N14" s="282"/>
      <c r="O14" s="296">
        <v>2</v>
      </c>
      <c r="P14" s="278">
        <v>29</v>
      </c>
      <c r="Q14" s="278">
        <v>161</v>
      </c>
      <c r="R14" s="278">
        <f t="shared" si="6"/>
        <v>132</v>
      </c>
      <c r="S14" s="282">
        <v>4000</v>
      </c>
      <c r="T14" s="282">
        <f t="shared" si="1"/>
        <v>528000</v>
      </c>
      <c r="U14" s="278"/>
      <c r="V14" s="278"/>
      <c r="W14" s="283">
        <v>2</v>
      </c>
      <c r="X14" s="278">
        <v>120000</v>
      </c>
      <c r="Y14" s="278">
        <f t="shared" si="7"/>
        <v>240000</v>
      </c>
      <c r="Z14" s="296"/>
      <c r="AA14" s="278"/>
      <c r="AB14" s="278"/>
      <c r="AC14" s="277">
        <v>1</v>
      </c>
      <c r="AD14" s="278">
        <v>100000</v>
      </c>
      <c r="AE14" s="278">
        <f t="shared" si="8"/>
        <v>100000</v>
      </c>
      <c r="AF14" s="278">
        <v>2</v>
      </c>
      <c r="AG14" s="278">
        <v>60000</v>
      </c>
      <c r="AH14" s="278">
        <f t="shared" si="9"/>
        <v>120000</v>
      </c>
      <c r="AI14" s="278">
        <v>1</v>
      </c>
      <c r="AJ14" s="278">
        <v>400000</v>
      </c>
      <c r="AK14" s="278">
        <f>AI14*AJ14</f>
        <v>400000</v>
      </c>
      <c r="AL14" s="296"/>
      <c r="AM14" s="278"/>
      <c r="AN14" s="284"/>
      <c r="AO14" s="278">
        <v>2</v>
      </c>
      <c r="AP14" s="278">
        <v>120000</v>
      </c>
      <c r="AQ14" s="278">
        <f t="shared" si="10"/>
        <v>240000</v>
      </c>
      <c r="AR14" s="285"/>
      <c r="AS14" s="285"/>
      <c r="AT14" s="285">
        <f t="shared" si="11"/>
        <v>0</v>
      </c>
      <c r="AU14" s="286">
        <f t="shared" si="2"/>
        <v>1628000</v>
      </c>
      <c r="AV14" s="287">
        <f t="shared" si="3"/>
        <v>5528000</v>
      </c>
      <c r="AW14" s="278"/>
      <c r="AX14" s="288">
        <f>1000000+4528000</f>
        <v>5528000</v>
      </c>
      <c r="AY14" s="289" t="str">
        <f t="shared" si="4"/>
        <v>Đủ</v>
      </c>
      <c r="AZ14" s="290">
        <f t="shared" si="5"/>
        <v>0</v>
      </c>
      <c r="BA14" s="291"/>
      <c r="BB14" s="282"/>
      <c r="BC14" s="278"/>
      <c r="BD14" s="278"/>
      <c r="BE14" s="278"/>
      <c r="BF14" s="278"/>
      <c r="BG14" s="278"/>
      <c r="BH14" s="278"/>
      <c r="BI14" s="278"/>
      <c r="BJ14" s="278"/>
      <c r="BK14" s="278"/>
      <c r="BL14" s="282"/>
      <c r="BM14" s="278"/>
      <c r="BN14" s="278"/>
      <c r="BO14" s="278"/>
      <c r="BP14" s="278"/>
      <c r="BQ14" s="278"/>
      <c r="BR14" s="278"/>
      <c r="BS14" s="292"/>
      <c r="BT14" s="278"/>
      <c r="BU14" s="292"/>
      <c r="BV14" s="278"/>
      <c r="BW14" s="278"/>
      <c r="BX14" s="278"/>
      <c r="BY14" s="278"/>
      <c r="BZ14" s="278"/>
      <c r="CA14" s="278"/>
      <c r="CB14" s="278"/>
      <c r="CC14" s="278"/>
      <c r="CD14" s="278"/>
      <c r="CE14" s="278"/>
      <c r="CF14" s="278"/>
      <c r="CG14" s="278"/>
    </row>
    <row r="15" spans="1:85" ht="20.25" customHeight="1">
      <c r="A15" s="277" t="s">
        <v>47</v>
      </c>
      <c r="B15" s="277" t="s">
        <v>144</v>
      </c>
      <c r="C15" s="278">
        <v>403</v>
      </c>
      <c r="D15" s="278" t="s">
        <v>238</v>
      </c>
      <c r="E15" s="278">
        <v>1</v>
      </c>
      <c r="F15" s="280">
        <v>4200000</v>
      </c>
      <c r="G15" s="280">
        <f>4300000+200000</f>
        <v>4500000</v>
      </c>
      <c r="H15" s="280">
        <v>4200000</v>
      </c>
      <c r="I15" s="280">
        <v>4200000</v>
      </c>
      <c r="J15" s="295"/>
      <c r="K15" s="278">
        <v>30</v>
      </c>
      <c r="L15" s="278">
        <v>30</v>
      </c>
      <c r="M15" s="281"/>
      <c r="N15" s="282"/>
      <c r="O15" s="296">
        <v>2</v>
      </c>
      <c r="P15" s="278">
        <v>12</v>
      </c>
      <c r="Q15" s="278">
        <v>86</v>
      </c>
      <c r="R15" s="278">
        <f t="shared" si="6"/>
        <v>74</v>
      </c>
      <c r="S15" s="282">
        <v>4000</v>
      </c>
      <c r="T15" s="282">
        <f t="shared" si="1"/>
        <v>296000</v>
      </c>
      <c r="U15" s="278"/>
      <c r="V15" s="278"/>
      <c r="W15" s="283">
        <v>2</v>
      </c>
      <c r="X15" s="278">
        <v>120000</v>
      </c>
      <c r="Y15" s="278">
        <f t="shared" si="7"/>
        <v>240000</v>
      </c>
      <c r="Z15" s="296"/>
      <c r="AA15" s="278"/>
      <c r="AB15" s="278"/>
      <c r="AC15" s="277"/>
      <c r="AD15" s="278">
        <v>100000</v>
      </c>
      <c r="AE15" s="278">
        <f t="shared" si="8"/>
        <v>0</v>
      </c>
      <c r="AF15" s="278">
        <v>2</v>
      </c>
      <c r="AG15" s="278">
        <v>60000</v>
      </c>
      <c r="AH15" s="278">
        <f t="shared" si="9"/>
        <v>120000</v>
      </c>
      <c r="AI15" s="278"/>
      <c r="AJ15" s="278"/>
      <c r="AK15" s="278"/>
      <c r="AL15" s="296"/>
      <c r="AM15" s="278"/>
      <c r="AN15" s="284"/>
      <c r="AO15" s="278">
        <v>2</v>
      </c>
      <c r="AP15" s="278">
        <v>120000</v>
      </c>
      <c r="AQ15" s="278">
        <f t="shared" si="10"/>
        <v>240000</v>
      </c>
      <c r="AR15" s="285"/>
      <c r="AS15" s="285"/>
      <c r="AT15" s="285">
        <f t="shared" si="11"/>
        <v>0</v>
      </c>
      <c r="AU15" s="286">
        <f t="shared" si="2"/>
        <v>896000</v>
      </c>
      <c r="AV15" s="287">
        <f t="shared" si="3"/>
        <v>5096000</v>
      </c>
      <c r="AW15" s="278"/>
      <c r="AX15" s="288">
        <v>5096000</v>
      </c>
      <c r="AY15" s="289" t="str">
        <f t="shared" si="4"/>
        <v>Đủ</v>
      </c>
      <c r="AZ15" s="290">
        <f t="shared" si="5"/>
        <v>0</v>
      </c>
      <c r="BA15" s="291"/>
      <c r="BB15" s="282"/>
      <c r="BC15" s="278"/>
      <c r="BD15" s="278"/>
      <c r="BE15" s="278"/>
      <c r="BF15" s="278"/>
      <c r="BG15" s="278"/>
      <c r="BH15" s="278"/>
      <c r="BI15" s="278"/>
      <c r="BJ15" s="278"/>
      <c r="BK15" s="278"/>
      <c r="BL15" s="282"/>
      <c r="BM15" s="278"/>
      <c r="BN15" s="278"/>
      <c r="BO15" s="278"/>
      <c r="BP15" s="278"/>
      <c r="BQ15" s="278"/>
      <c r="BR15" s="278"/>
      <c r="BS15" s="292"/>
      <c r="BT15" s="278"/>
      <c r="BU15" s="292"/>
      <c r="BV15" s="278"/>
      <c r="BW15" s="278"/>
      <c r="BX15" s="278"/>
      <c r="BY15" s="278"/>
      <c r="BZ15" s="278"/>
      <c r="CA15" s="278"/>
      <c r="CB15" s="278"/>
      <c r="CC15" s="278"/>
      <c r="CD15" s="278"/>
      <c r="CE15" s="278"/>
      <c r="CF15" s="278"/>
      <c r="CG15" s="278"/>
    </row>
    <row r="16" spans="1:85" ht="21.75" customHeight="1">
      <c r="A16" s="277" t="s">
        <v>48</v>
      </c>
      <c r="B16" s="277" t="s">
        <v>144</v>
      </c>
      <c r="C16" s="278">
        <v>404</v>
      </c>
      <c r="D16" s="278" t="s">
        <v>238</v>
      </c>
      <c r="E16" s="278">
        <v>1</v>
      </c>
      <c r="F16" s="297">
        <v>4000000</v>
      </c>
      <c r="G16" s="280">
        <v>4400000</v>
      </c>
      <c r="H16" s="297">
        <v>4000000</v>
      </c>
      <c r="I16" s="297">
        <v>4000000</v>
      </c>
      <c r="J16" s="298"/>
      <c r="K16" s="278">
        <v>30</v>
      </c>
      <c r="L16" s="278">
        <v>30</v>
      </c>
      <c r="M16" s="281"/>
      <c r="N16" s="282"/>
      <c r="O16" s="296">
        <v>1</v>
      </c>
      <c r="P16" s="278">
        <v>53</v>
      </c>
      <c r="Q16" s="278">
        <v>122</v>
      </c>
      <c r="R16" s="278">
        <f t="shared" si="6"/>
        <v>69</v>
      </c>
      <c r="S16" s="282">
        <v>4000</v>
      </c>
      <c r="T16" s="282">
        <f t="shared" si="1"/>
        <v>276000</v>
      </c>
      <c r="U16" s="278"/>
      <c r="V16" s="278"/>
      <c r="W16" s="283">
        <v>1</v>
      </c>
      <c r="X16" s="278">
        <v>120000</v>
      </c>
      <c r="Y16" s="278">
        <f t="shared" si="7"/>
        <v>120000</v>
      </c>
      <c r="Z16" s="296"/>
      <c r="AA16" s="278"/>
      <c r="AB16" s="278"/>
      <c r="AC16" s="277"/>
      <c r="AD16" s="278">
        <v>100000</v>
      </c>
      <c r="AE16" s="278">
        <f t="shared" si="8"/>
        <v>0</v>
      </c>
      <c r="AF16" s="278">
        <v>1</v>
      </c>
      <c r="AG16" s="278">
        <v>60000</v>
      </c>
      <c r="AH16" s="278">
        <f t="shared" si="9"/>
        <v>60000</v>
      </c>
      <c r="AI16" s="278"/>
      <c r="AJ16" s="278"/>
      <c r="AK16" s="278"/>
      <c r="AL16" s="296"/>
      <c r="AM16" s="278"/>
      <c r="AN16" s="284"/>
      <c r="AO16" s="278">
        <v>1</v>
      </c>
      <c r="AP16" s="278">
        <v>120000</v>
      </c>
      <c r="AQ16" s="278">
        <f t="shared" si="10"/>
        <v>120000</v>
      </c>
      <c r="AR16" s="285"/>
      <c r="AS16" s="285"/>
      <c r="AT16" s="285">
        <f t="shared" si="11"/>
        <v>0</v>
      </c>
      <c r="AU16" s="286">
        <f t="shared" si="2"/>
        <v>576000</v>
      </c>
      <c r="AV16" s="287">
        <f t="shared" si="3"/>
        <v>4576000</v>
      </c>
      <c r="AW16" s="278"/>
      <c r="AX16" s="288">
        <v>4576000</v>
      </c>
      <c r="AY16" s="289" t="str">
        <f t="shared" si="4"/>
        <v>Đủ</v>
      </c>
      <c r="AZ16" s="290">
        <f t="shared" si="5"/>
        <v>0</v>
      </c>
      <c r="BA16" s="291"/>
      <c r="BB16" s="282"/>
      <c r="BC16" s="278"/>
      <c r="BD16" s="278"/>
      <c r="BE16" s="278"/>
      <c r="BF16" s="278"/>
      <c r="BG16" s="278"/>
      <c r="BH16" s="278"/>
      <c r="BI16" s="278"/>
      <c r="BJ16" s="278"/>
      <c r="BK16" s="278"/>
      <c r="BL16" s="282"/>
      <c r="BM16" s="278"/>
      <c r="BN16" s="278"/>
      <c r="BO16" s="278"/>
      <c r="BP16" s="278"/>
      <c r="BQ16" s="278"/>
      <c r="BR16" s="278"/>
      <c r="BS16" s="292"/>
      <c r="BT16" s="278"/>
      <c r="BU16" s="292"/>
      <c r="BV16" s="278"/>
      <c r="BW16" s="278"/>
      <c r="BX16" s="278"/>
      <c r="BY16" s="278"/>
      <c r="BZ16" s="278"/>
      <c r="CA16" s="278"/>
      <c r="CB16" s="278"/>
      <c r="CC16" s="278"/>
      <c r="CD16" s="278"/>
      <c r="CE16" s="278"/>
      <c r="CF16" s="278"/>
      <c r="CG16" s="278"/>
    </row>
    <row r="17" spans="1:85" ht="20.25" customHeight="1">
      <c r="A17" s="277" t="s">
        <v>49</v>
      </c>
      <c r="B17" s="277" t="s">
        <v>144</v>
      </c>
      <c r="C17" s="278">
        <v>601</v>
      </c>
      <c r="D17" s="278" t="s">
        <v>238</v>
      </c>
      <c r="E17" s="278">
        <v>1</v>
      </c>
      <c r="F17" s="297">
        <v>3800000</v>
      </c>
      <c r="G17" s="280">
        <v>4100000</v>
      </c>
      <c r="H17" s="297">
        <v>3800000</v>
      </c>
      <c r="I17" s="297">
        <v>3800000</v>
      </c>
      <c r="J17" s="298"/>
      <c r="K17" s="278">
        <v>30</v>
      </c>
      <c r="L17" s="278">
        <v>30</v>
      </c>
      <c r="M17" s="281"/>
      <c r="N17" s="282"/>
      <c r="O17" s="296">
        <v>1</v>
      </c>
      <c r="P17" s="278">
        <v>15</v>
      </c>
      <c r="Q17" s="278">
        <v>48</v>
      </c>
      <c r="R17" s="278">
        <f t="shared" si="6"/>
        <v>33</v>
      </c>
      <c r="S17" s="282">
        <v>4000</v>
      </c>
      <c r="T17" s="282">
        <f t="shared" si="1"/>
        <v>132000</v>
      </c>
      <c r="U17" s="282"/>
      <c r="V17" s="282"/>
      <c r="W17" s="299">
        <v>1</v>
      </c>
      <c r="X17" s="278">
        <v>120000</v>
      </c>
      <c r="Y17" s="278">
        <f t="shared" si="7"/>
        <v>120000</v>
      </c>
      <c r="Z17" s="296"/>
      <c r="AA17" s="278"/>
      <c r="AB17" s="278"/>
      <c r="AC17" s="277">
        <v>1</v>
      </c>
      <c r="AD17" s="278">
        <v>100000</v>
      </c>
      <c r="AE17" s="278">
        <f t="shared" si="8"/>
        <v>100000</v>
      </c>
      <c r="AF17" s="278">
        <v>1</v>
      </c>
      <c r="AG17" s="278">
        <v>60000</v>
      </c>
      <c r="AH17" s="278">
        <f t="shared" si="9"/>
        <v>60000</v>
      </c>
      <c r="AI17" s="278"/>
      <c r="AJ17" s="278"/>
      <c r="AK17" s="278"/>
      <c r="AL17" s="296"/>
      <c r="AM17" s="278"/>
      <c r="AN17" s="284"/>
      <c r="AO17" s="278">
        <v>1</v>
      </c>
      <c r="AP17" s="278">
        <v>120000</v>
      </c>
      <c r="AQ17" s="278">
        <f t="shared" si="10"/>
        <v>120000</v>
      </c>
      <c r="AR17" s="285"/>
      <c r="AS17" s="285"/>
      <c r="AT17" s="285">
        <f t="shared" si="11"/>
        <v>0</v>
      </c>
      <c r="AU17" s="286">
        <f t="shared" si="2"/>
        <v>532000</v>
      </c>
      <c r="AV17" s="287">
        <f t="shared" si="3"/>
        <v>4332000</v>
      </c>
      <c r="AW17" s="278"/>
      <c r="AX17" s="288">
        <v>4332000</v>
      </c>
      <c r="AY17" s="289" t="str">
        <f t="shared" si="4"/>
        <v>Đủ</v>
      </c>
      <c r="AZ17" s="290">
        <f t="shared" si="5"/>
        <v>0</v>
      </c>
      <c r="BA17" s="291"/>
      <c r="BB17" s="282"/>
      <c r="BC17" s="278"/>
      <c r="BD17" s="278"/>
      <c r="BE17" s="278"/>
      <c r="BF17" s="278"/>
      <c r="BG17" s="278"/>
      <c r="BH17" s="278"/>
      <c r="BI17" s="278"/>
      <c r="BJ17" s="278"/>
      <c r="BK17" s="278"/>
      <c r="BL17" s="282"/>
      <c r="BM17" s="278"/>
      <c r="BN17" s="278"/>
      <c r="BO17" s="278"/>
      <c r="BP17" s="278"/>
      <c r="BQ17" s="278"/>
      <c r="BR17" s="278"/>
      <c r="BS17" s="292"/>
      <c r="BT17" s="278"/>
      <c r="BU17" s="292"/>
      <c r="BV17" s="278"/>
      <c r="BW17" s="278"/>
      <c r="BX17" s="278"/>
      <c r="BY17" s="278"/>
      <c r="BZ17" s="278"/>
      <c r="CA17" s="278"/>
      <c r="CB17" s="278"/>
      <c r="CC17" s="278"/>
      <c r="CD17" s="278"/>
      <c r="CE17" s="278"/>
      <c r="CF17" s="278"/>
      <c r="CG17" s="278"/>
    </row>
    <row r="18" spans="1:85" ht="18" customHeight="1">
      <c r="A18" s="277" t="s">
        <v>50</v>
      </c>
      <c r="B18" s="277" t="s">
        <v>144</v>
      </c>
      <c r="C18" s="278">
        <v>603</v>
      </c>
      <c r="D18" s="278" t="s">
        <v>238</v>
      </c>
      <c r="E18" s="278">
        <v>1</v>
      </c>
      <c r="F18" s="297">
        <v>3000000</v>
      </c>
      <c r="G18" s="280">
        <v>3300000</v>
      </c>
      <c r="H18" s="297">
        <v>3000000</v>
      </c>
      <c r="I18" s="297">
        <v>3000000</v>
      </c>
      <c r="J18" s="298"/>
      <c r="K18" s="278">
        <v>30</v>
      </c>
      <c r="L18" s="278">
        <v>30</v>
      </c>
      <c r="M18" s="281"/>
      <c r="N18" s="282"/>
      <c r="O18" s="296">
        <v>2</v>
      </c>
      <c r="P18" s="278">
        <v>33</v>
      </c>
      <c r="Q18" s="278">
        <v>69</v>
      </c>
      <c r="R18" s="278">
        <f t="shared" si="6"/>
        <v>36</v>
      </c>
      <c r="S18" s="282">
        <v>4000</v>
      </c>
      <c r="T18" s="282">
        <f t="shared" si="1"/>
        <v>144000</v>
      </c>
      <c r="U18" s="278"/>
      <c r="V18" s="278"/>
      <c r="W18" s="283">
        <v>2</v>
      </c>
      <c r="X18" s="278">
        <v>120000</v>
      </c>
      <c r="Y18" s="278">
        <f t="shared" si="7"/>
        <v>240000</v>
      </c>
      <c r="Z18" s="296"/>
      <c r="AA18" s="278"/>
      <c r="AB18" s="278">
        <f>Z18*AA18</f>
        <v>0</v>
      </c>
      <c r="AC18" s="277">
        <v>1</v>
      </c>
      <c r="AD18" s="278">
        <v>100000</v>
      </c>
      <c r="AE18" s="278">
        <f t="shared" si="8"/>
        <v>100000</v>
      </c>
      <c r="AF18" s="278">
        <v>2</v>
      </c>
      <c r="AG18" s="278">
        <v>60000</v>
      </c>
      <c r="AH18" s="278">
        <f t="shared" si="9"/>
        <v>120000</v>
      </c>
      <c r="AI18" s="278"/>
      <c r="AJ18" s="278"/>
      <c r="AK18" s="278"/>
      <c r="AL18" s="296"/>
      <c r="AM18" s="278"/>
      <c r="AN18" s="284"/>
      <c r="AO18" s="278">
        <v>2</v>
      </c>
      <c r="AP18" s="278">
        <v>120000</v>
      </c>
      <c r="AQ18" s="278">
        <f t="shared" si="10"/>
        <v>240000</v>
      </c>
      <c r="AR18" s="285">
        <f t="shared" ref="AR18:AR19" si="16">(131-37)/2</f>
        <v>47</v>
      </c>
      <c r="AS18" s="285">
        <v>4000</v>
      </c>
      <c r="AT18" s="285">
        <f t="shared" si="11"/>
        <v>188000</v>
      </c>
      <c r="AU18" s="286">
        <f t="shared" si="2"/>
        <v>1032000</v>
      </c>
      <c r="AV18" s="287">
        <f t="shared" si="3"/>
        <v>4032000</v>
      </c>
      <c r="AW18" s="278"/>
      <c r="AX18" s="288">
        <v>4032000</v>
      </c>
      <c r="AY18" s="289" t="str">
        <f t="shared" si="4"/>
        <v>Đủ</v>
      </c>
      <c r="AZ18" s="290">
        <f t="shared" si="5"/>
        <v>0</v>
      </c>
      <c r="BA18" s="291"/>
      <c r="BB18" s="282"/>
      <c r="BC18" s="278"/>
      <c r="BD18" s="278"/>
      <c r="BE18" s="278"/>
      <c r="BF18" s="278"/>
      <c r="BG18" s="278"/>
      <c r="BH18" s="278"/>
      <c r="BI18" s="278"/>
      <c r="BJ18" s="278"/>
      <c r="BK18" s="278"/>
      <c r="BL18" s="282"/>
      <c r="BM18" s="278"/>
      <c r="BN18" s="278"/>
      <c r="BO18" s="278"/>
      <c r="BP18" s="278"/>
      <c r="BQ18" s="278"/>
      <c r="BR18" s="278"/>
      <c r="BS18" s="292"/>
      <c r="BT18" s="278"/>
      <c r="BU18" s="292"/>
      <c r="BV18" s="278"/>
      <c r="BW18" s="278"/>
      <c r="BX18" s="278"/>
      <c r="BY18" s="278"/>
      <c r="BZ18" s="278"/>
      <c r="CA18" s="278"/>
      <c r="CB18" s="278"/>
      <c r="CC18" s="278"/>
      <c r="CD18" s="278"/>
      <c r="CE18" s="278"/>
      <c r="CF18" s="278"/>
      <c r="CG18" s="278"/>
    </row>
    <row r="19" spans="1:85" ht="22.5" customHeight="1">
      <c r="A19" s="277" t="s">
        <v>51</v>
      </c>
      <c r="B19" s="277" t="s">
        <v>144</v>
      </c>
      <c r="C19" s="278">
        <v>604</v>
      </c>
      <c r="D19" s="278" t="s">
        <v>238</v>
      </c>
      <c r="E19" s="278">
        <v>1</v>
      </c>
      <c r="F19" s="297">
        <v>3500000</v>
      </c>
      <c r="G19" s="280">
        <v>3500000</v>
      </c>
      <c r="H19" s="297">
        <v>3500000</v>
      </c>
      <c r="I19" s="297">
        <v>3500000</v>
      </c>
      <c r="J19" s="298"/>
      <c r="K19" s="278">
        <v>30</v>
      </c>
      <c r="L19" s="278">
        <v>30</v>
      </c>
      <c r="M19" s="281"/>
      <c r="N19" s="282"/>
      <c r="O19" s="296">
        <v>3</v>
      </c>
      <c r="P19" s="278">
        <v>12</v>
      </c>
      <c r="Q19" s="278">
        <v>76</v>
      </c>
      <c r="R19" s="278">
        <f t="shared" si="6"/>
        <v>64</v>
      </c>
      <c r="S19" s="282">
        <v>4000</v>
      </c>
      <c r="T19" s="282">
        <f t="shared" si="1"/>
        <v>256000</v>
      </c>
      <c r="U19" s="278"/>
      <c r="V19" s="278"/>
      <c r="W19" s="283">
        <v>3</v>
      </c>
      <c r="X19" s="278">
        <v>120000</v>
      </c>
      <c r="Y19" s="278">
        <f t="shared" si="7"/>
        <v>360000</v>
      </c>
      <c r="Z19" s="296"/>
      <c r="AA19" s="278"/>
      <c r="AB19" s="278"/>
      <c r="AC19" s="277">
        <v>1</v>
      </c>
      <c r="AD19" s="278">
        <v>100000</v>
      </c>
      <c r="AE19" s="278">
        <f t="shared" si="8"/>
        <v>100000</v>
      </c>
      <c r="AF19" s="278">
        <v>3</v>
      </c>
      <c r="AG19" s="278">
        <v>60000</v>
      </c>
      <c r="AH19" s="278">
        <f t="shared" si="9"/>
        <v>180000</v>
      </c>
      <c r="AI19" s="278"/>
      <c r="AJ19" s="278"/>
      <c r="AK19" s="278"/>
      <c r="AL19" s="296"/>
      <c r="AM19" s="278"/>
      <c r="AN19" s="284"/>
      <c r="AO19" s="278">
        <v>3</v>
      </c>
      <c r="AP19" s="278">
        <v>120000</v>
      </c>
      <c r="AQ19" s="278">
        <f t="shared" si="10"/>
        <v>360000</v>
      </c>
      <c r="AR19" s="285">
        <f t="shared" si="16"/>
        <v>47</v>
      </c>
      <c r="AS19" s="285">
        <v>4000</v>
      </c>
      <c r="AT19" s="285">
        <f t="shared" si="11"/>
        <v>188000</v>
      </c>
      <c r="AU19" s="286">
        <f t="shared" si="2"/>
        <v>1444000</v>
      </c>
      <c r="AV19" s="287">
        <f t="shared" si="3"/>
        <v>4944000</v>
      </c>
      <c r="AW19" s="278"/>
      <c r="AX19" s="288">
        <v>4944000</v>
      </c>
      <c r="AY19" s="289" t="str">
        <f t="shared" si="4"/>
        <v>Đủ</v>
      </c>
      <c r="AZ19" s="290">
        <f t="shared" si="5"/>
        <v>0</v>
      </c>
      <c r="BA19" s="291"/>
      <c r="BB19" s="282"/>
      <c r="BC19" s="278"/>
      <c r="BD19" s="278"/>
      <c r="BE19" s="278"/>
      <c r="BF19" s="278"/>
      <c r="BG19" s="278"/>
      <c r="BH19" s="278"/>
      <c r="BI19" s="278"/>
      <c r="BJ19" s="278"/>
      <c r="BK19" s="278"/>
      <c r="BL19" s="282"/>
      <c r="BM19" s="278"/>
      <c r="BN19" s="278"/>
      <c r="BO19" s="278"/>
      <c r="BP19" s="278"/>
      <c r="BQ19" s="278"/>
      <c r="BR19" s="278"/>
      <c r="BS19" s="292"/>
      <c r="BT19" s="278"/>
      <c r="BU19" s="292"/>
      <c r="BV19" s="278"/>
      <c r="BW19" s="278"/>
      <c r="BX19" s="278"/>
      <c r="BY19" s="278"/>
      <c r="BZ19" s="278"/>
      <c r="CA19" s="278"/>
      <c r="CB19" s="278"/>
      <c r="CC19" s="278"/>
      <c r="CD19" s="278"/>
      <c r="CE19" s="278"/>
      <c r="CF19" s="278"/>
      <c r="CG19" s="278"/>
    </row>
  </sheetData>
  <mergeCells count="10">
    <mergeCell ref="AL1:AN1"/>
    <mergeCell ref="AO1:AQ1"/>
    <mergeCell ref="AR1:AT1"/>
    <mergeCell ref="BA1:BA2"/>
    <mergeCell ref="P1:T1"/>
    <mergeCell ref="U1:Y1"/>
    <mergeCell ref="Z1:AB1"/>
    <mergeCell ref="AC1:AE1"/>
    <mergeCell ref="AF1:AH1"/>
    <mergeCell ref="AI1:AK1"/>
  </mergeCells>
  <conditionalFormatting sqref="AZ4:AZ19">
    <cfRule type="notContainsBlanks" dxfId="7" priority="1">
      <formula>LEN(TRIM(AZ4))&gt;0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6BA40-29C1-4CF0-94F5-624875E3241A}">
  <dimension ref="A1:N84"/>
  <sheetViews>
    <sheetView topLeftCell="B34" workbookViewId="0">
      <selection activeCell="C47" sqref="C47"/>
    </sheetView>
  </sheetViews>
  <sheetFormatPr defaultRowHeight="14.5"/>
  <cols>
    <col min="1" max="1" width="40.26953125" customWidth="1"/>
    <col min="2" max="2" width="24.36328125" customWidth="1"/>
    <col min="3" max="3" width="22.6328125" customWidth="1"/>
    <col min="4" max="4" width="22.453125" customWidth="1"/>
    <col min="6" max="13" width="8.7265625" customWidth="1"/>
    <col min="14" max="14" width="12" customWidth="1"/>
  </cols>
  <sheetData>
    <row r="1" spans="1:14" s="144" customFormat="1" ht="15">
      <c r="A1" s="345" t="s">
        <v>267</v>
      </c>
      <c r="B1" s="345"/>
      <c r="C1" s="345"/>
      <c r="D1" s="345"/>
      <c r="E1" s="143"/>
      <c r="F1" s="346" t="s">
        <v>239</v>
      </c>
      <c r="G1" s="347"/>
      <c r="H1" s="347"/>
      <c r="I1" s="347"/>
      <c r="J1" s="347"/>
      <c r="K1" s="347"/>
      <c r="L1" s="347"/>
      <c r="M1" s="348"/>
    </row>
    <row r="2" spans="1:14" s="144" customFormat="1">
      <c r="A2" s="145" t="s">
        <v>268</v>
      </c>
      <c r="B2" s="146"/>
      <c r="C2" s="147">
        <f>'HĐ T4.26 '!AX2</f>
        <v>77595000</v>
      </c>
      <c r="D2" s="148" t="s">
        <v>173</v>
      </c>
      <c r="E2" s="149"/>
      <c r="F2" s="150"/>
      <c r="G2" s="150" t="s">
        <v>174</v>
      </c>
      <c r="H2" s="150" t="s">
        <v>175</v>
      </c>
      <c r="I2" s="150" t="s">
        <v>176</v>
      </c>
      <c r="J2" s="150" t="s">
        <v>177</v>
      </c>
      <c r="K2" s="151" t="s">
        <v>178</v>
      </c>
      <c r="L2" s="152" t="s">
        <v>179</v>
      </c>
      <c r="M2" s="152" t="s">
        <v>180</v>
      </c>
    </row>
    <row r="3" spans="1:14" s="144" customFormat="1">
      <c r="A3" s="349" t="s">
        <v>181</v>
      </c>
      <c r="B3" s="154"/>
      <c r="C3" s="155">
        <v>3800000</v>
      </c>
      <c r="D3" s="156" t="s">
        <v>269</v>
      </c>
      <c r="E3" s="149"/>
      <c r="F3" s="157" t="s">
        <v>182</v>
      </c>
      <c r="G3" s="155">
        <v>10</v>
      </c>
      <c r="H3" s="155">
        <f>G3*($C$22/100)</f>
        <v>4800000</v>
      </c>
      <c r="I3" s="155">
        <f>G3*$C$71/100</f>
        <v>1569164.6</v>
      </c>
      <c r="J3" s="155">
        <f>G3*$C$72/100</f>
        <v>743086.06460684235</v>
      </c>
      <c r="K3" s="158"/>
      <c r="L3" s="156"/>
      <c r="M3" s="157">
        <f>H3+J3</f>
        <v>5543086.0646068426</v>
      </c>
    </row>
    <row r="4" spans="1:14" s="144" customFormat="1">
      <c r="A4" s="350"/>
      <c r="B4" s="154"/>
      <c r="C4" s="155"/>
      <c r="D4" s="156"/>
      <c r="E4" s="149"/>
      <c r="F4" s="157" t="s">
        <v>183</v>
      </c>
      <c r="G4" s="155">
        <v>20</v>
      </c>
      <c r="H4" s="155">
        <f t="shared" ref="H4:H11" si="0">G4*($C$22/100)</f>
        <v>9600000</v>
      </c>
      <c r="I4" s="155">
        <f t="shared" ref="I4:I11" si="1">G4*$C$71/100</f>
        <v>3138329.2</v>
      </c>
      <c r="J4" s="155">
        <f t="shared" ref="J4:J11" si="2">G4*$C$72/100</f>
        <v>1486172.1292136847</v>
      </c>
      <c r="K4" s="158"/>
      <c r="L4" s="156"/>
      <c r="M4" s="157">
        <f t="shared" ref="M4:M11" si="3">H4+J4</f>
        <v>11086172.129213685</v>
      </c>
    </row>
    <row r="5" spans="1:14" s="144" customFormat="1">
      <c r="A5" s="351"/>
      <c r="B5" s="154"/>
      <c r="C5" s="155"/>
      <c r="D5" s="156"/>
      <c r="F5" s="157" t="s">
        <v>240</v>
      </c>
      <c r="G5" s="155">
        <v>15</v>
      </c>
      <c r="H5" s="155">
        <f t="shared" si="0"/>
        <v>7200000</v>
      </c>
      <c r="I5" s="155">
        <f t="shared" si="1"/>
        <v>2353746.9</v>
      </c>
      <c r="J5" s="155">
        <f t="shared" si="2"/>
        <v>1114629.0969102636</v>
      </c>
      <c r="K5" s="158"/>
      <c r="L5" s="156"/>
      <c r="M5" s="157">
        <f t="shared" si="3"/>
        <v>8314629.0969102634</v>
      </c>
    </row>
    <row r="6" spans="1:14" s="144" customFormat="1">
      <c r="A6" s="153" t="s">
        <v>185</v>
      </c>
      <c r="B6" s="159"/>
      <c r="C6" s="160"/>
      <c r="D6" s="161"/>
      <c r="F6" s="157" t="s">
        <v>241</v>
      </c>
      <c r="G6" s="155">
        <v>5</v>
      </c>
      <c r="H6" s="155">
        <f t="shared" si="0"/>
        <v>2400000</v>
      </c>
      <c r="I6" s="155">
        <f t="shared" si="1"/>
        <v>784582.3</v>
      </c>
      <c r="J6" s="155">
        <f t="shared" si="2"/>
        <v>371543.03230342118</v>
      </c>
      <c r="K6" s="158"/>
      <c r="L6" s="156"/>
      <c r="M6" s="157">
        <f t="shared" si="3"/>
        <v>2771543.0323034213</v>
      </c>
    </row>
    <row r="7" spans="1:14" s="144" customFormat="1">
      <c r="A7" s="349" t="s">
        <v>186</v>
      </c>
      <c r="B7" s="159"/>
      <c r="C7" s="160"/>
      <c r="D7" s="161"/>
      <c r="F7" s="157" t="s">
        <v>242</v>
      </c>
      <c r="G7" s="155">
        <v>15</v>
      </c>
      <c r="H7" s="155">
        <f t="shared" si="0"/>
        <v>7200000</v>
      </c>
      <c r="I7" s="155">
        <f t="shared" si="1"/>
        <v>2353746.9</v>
      </c>
      <c r="J7" s="155">
        <f t="shared" si="2"/>
        <v>1114629.0969102636</v>
      </c>
      <c r="K7" s="158"/>
      <c r="L7" s="156"/>
      <c r="M7" s="157">
        <f t="shared" si="3"/>
        <v>8314629.0969102634</v>
      </c>
    </row>
    <row r="8" spans="1:14" s="144" customFormat="1">
      <c r="A8" s="351"/>
      <c r="B8" s="159"/>
      <c r="C8" s="160"/>
      <c r="D8" s="161"/>
      <c r="F8" s="157" t="s">
        <v>184</v>
      </c>
      <c r="G8" s="155">
        <v>10</v>
      </c>
      <c r="H8" s="155">
        <f t="shared" si="0"/>
        <v>4800000</v>
      </c>
      <c r="I8" s="155">
        <f t="shared" si="1"/>
        <v>1569164.6</v>
      </c>
      <c r="J8" s="155">
        <f t="shared" si="2"/>
        <v>743086.06460684235</v>
      </c>
      <c r="K8" s="158"/>
      <c r="L8" s="156"/>
      <c r="M8" s="157">
        <f t="shared" si="3"/>
        <v>5543086.0646068426</v>
      </c>
      <c r="N8" s="166">
        <f>H13+J13</f>
        <v>55430860.646068424</v>
      </c>
    </row>
    <row r="9" spans="1:14" s="144" customFormat="1">
      <c r="A9" s="153"/>
      <c r="B9" s="159" t="s">
        <v>187</v>
      </c>
      <c r="C9" s="160">
        <v>1</v>
      </c>
      <c r="D9" s="161"/>
      <c r="F9" s="157" t="s">
        <v>243</v>
      </c>
      <c r="G9" s="155">
        <v>5</v>
      </c>
      <c r="H9" s="155">
        <f t="shared" si="0"/>
        <v>2400000</v>
      </c>
      <c r="I9" s="155">
        <f t="shared" si="1"/>
        <v>784582.3</v>
      </c>
      <c r="J9" s="155">
        <f t="shared" si="2"/>
        <v>371543.03230342118</v>
      </c>
      <c r="K9" s="158"/>
      <c r="L9" s="156"/>
      <c r="M9" s="157">
        <f t="shared" si="3"/>
        <v>2771543.0323034213</v>
      </c>
      <c r="N9" s="166">
        <f>H13+J13</f>
        <v>55430860.646068424</v>
      </c>
    </row>
    <row r="10" spans="1:14" s="144" customFormat="1">
      <c r="A10" s="153"/>
      <c r="B10" s="159" t="s">
        <v>188</v>
      </c>
      <c r="C10" s="160">
        <v>1</v>
      </c>
      <c r="D10" s="161"/>
      <c r="F10" s="157" t="s">
        <v>244</v>
      </c>
      <c r="G10" s="155">
        <v>10</v>
      </c>
      <c r="H10" s="155">
        <f t="shared" si="0"/>
        <v>4800000</v>
      </c>
      <c r="I10" s="155">
        <f t="shared" si="1"/>
        <v>1569164.6</v>
      </c>
      <c r="J10" s="155">
        <f t="shared" si="2"/>
        <v>743086.06460684235</v>
      </c>
      <c r="K10" s="158"/>
      <c r="L10" s="156"/>
      <c r="M10" s="157">
        <f t="shared" si="3"/>
        <v>5543086.0646068426</v>
      </c>
    </row>
    <row r="11" spans="1:14" s="144" customFormat="1">
      <c r="A11" s="153"/>
      <c r="B11" s="159" t="s">
        <v>189</v>
      </c>
      <c r="C11" s="160">
        <v>0</v>
      </c>
      <c r="D11" s="161"/>
      <c r="F11" s="157" t="s">
        <v>245</v>
      </c>
      <c r="G11" s="155">
        <v>10</v>
      </c>
      <c r="H11" s="155">
        <f t="shared" si="0"/>
        <v>4800000</v>
      </c>
      <c r="I11" s="155">
        <f t="shared" si="1"/>
        <v>1569164.6</v>
      </c>
      <c r="J11" s="155">
        <f t="shared" si="2"/>
        <v>743086.06460684235</v>
      </c>
      <c r="K11" s="158"/>
      <c r="L11" s="156"/>
      <c r="M11" s="157">
        <f t="shared" si="3"/>
        <v>5543086.0646068426</v>
      </c>
    </row>
    <row r="12" spans="1:14" s="144" customFormat="1">
      <c r="A12" s="167"/>
      <c r="B12" s="154" t="s">
        <v>190</v>
      </c>
      <c r="C12" s="168">
        <f>'HĐ T4.26 '!I2-'HĐ T4.26 '!I10+'[9]PHÒNG MỚI THÁNG 4'!$H$40</f>
        <v>55726666.666666664</v>
      </c>
      <c r="D12" s="169"/>
      <c r="F12" s="157"/>
      <c r="G12" s="155"/>
      <c r="H12" s="155"/>
      <c r="I12" s="155"/>
      <c r="J12" s="155"/>
      <c r="K12" s="158"/>
      <c r="L12" s="156"/>
      <c r="M12" s="157"/>
    </row>
    <row r="13" spans="1:14" s="144" customFormat="1">
      <c r="A13" s="170"/>
      <c r="B13" s="170" t="s">
        <v>191</v>
      </c>
      <c r="C13" s="171">
        <f>'HĐ T4.26 '!T2</f>
        <v>8265500</v>
      </c>
      <c r="D13" s="172"/>
      <c r="E13" s="173"/>
      <c r="F13" s="162"/>
      <c r="G13" s="163">
        <f>SUM(G3:G12)</f>
        <v>100</v>
      </c>
      <c r="H13" s="163">
        <f>SUM(H3:H12)</f>
        <v>48000000</v>
      </c>
      <c r="I13" s="163">
        <f>SUM(I3:I12)</f>
        <v>15691646</v>
      </c>
      <c r="J13" s="163">
        <f>SUM(J3:J12)</f>
        <v>7430860.646068424</v>
      </c>
      <c r="K13" s="164">
        <f>C76*100</f>
        <v>12.00397097396116</v>
      </c>
      <c r="L13" s="162">
        <f>C78</f>
        <v>4.4714327199282708</v>
      </c>
      <c r="M13" s="163">
        <f>SUM(M3:M12)</f>
        <v>55430860.646068439</v>
      </c>
    </row>
    <row r="14" spans="1:14" s="144" customFormat="1">
      <c r="A14" s="174"/>
      <c r="B14" s="174" t="s">
        <v>192</v>
      </c>
      <c r="C14" s="168">
        <f>'HĐ T4.26 '!Y2-'HĐ T4.26 '!Y10+'[9]PHÒNG MỚI THÁNG 4'!$X$40</f>
        <v>3128000</v>
      </c>
      <c r="D14" s="175"/>
      <c r="E14" s="173"/>
    </row>
    <row r="15" spans="1:14" s="144" customFormat="1">
      <c r="A15" s="174"/>
      <c r="B15" s="174" t="s">
        <v>193</v>
      </c>
      <c r="C15" s="168">
        <f>(('HĐ T4.26 '!AQ2-'HĐ T4.26 '!AQ10)/2)+'[9]PHÒNG MỚI THÁNG 4'!$AP$40/2</f>
        <v>1564000</v>
      </c>
      <c r="D15" s="175"/>
      <c r="E15" s="173"/>
      <c r="F15" s="165"/>
    </row>
    <row r="16" spans="1:14" s="144" customFormat="1">
      <c r="A16" s="174"/>
      <c r="B16" s="174" t="s">
        <v>194</v>
      </c>
      <c r="C16" s="168">
        <f>'HĐ T4.26 '!AE2-'HĐ T4.26 '!AE10+'[9]PHÒNG MỚI THÁNG 4'!$AD$40</f>
        <v>1053333.3333333333</v>
      </c>
      <c r="D16" s="175"/>
      <c r="E16" s="173"/>
    </row>
    <row r="17" spans="1:14" s="144" customFormat="1">
      <c r="A17" s="176"/>
      <c r="B17" s="174" t="s">
        <v>195</v>
      </c>
      <c r="C17" s="177">
        <f>'HĐ T4.26 '!AK2+'[9]PHÒNG MỚI THÁNG 4'!$AJ$40</f>
        <v>700000</v>
      </c>
      <c r="D17" s="178"/>
      <c r="E17" s="173"/>
    </row>
    <row r="18" spans="1:14" s="144" customFormat="1">
      <c r="A18" s="176"/>
      <c r="B18" s="176" t="s">
        <v>196</v>
      </c>
      <c r="C18" s="160">
        <f>'HĐ T4.26 '!AH2-'HĐ T4.26 '!AH10+'[9]PHÒNG MỚI THÁNG 4'!$AG$40</f>
        <v>1504000</v>
      </c>
      <c r="D18" s="178"/>
      <c r="E18" s="173"/>
    </row>
    <row r="19" spans="1:14" s="144" customFormat="1" ht="15" thickBot="1">
      <c r="A19" s="176"/>
      <c r="B19" s="179" t="s">
        <v>197</v>
      </c>
      <c r="C19" s="180">
        <f>('HĐ T4.26 '!AQ2-'HĐ T4.26 '!AQ10)/2+'[9]PHÒNG MỚI THÁNG 4'!$AP$40/2</f>
        <v>1564000</v>
      </c>
      <c r="D19" s="178"/>
      <c r="E19" s="173"/>
    </row>
    <row r="20" spans="1:14" s="144" customFormat="1" ht="15" thickBot="1">
      <c r="A20" s="179"/>
      <c r="B20" s="181" t="s">
        <v>198</v>
      </c>
      <c r="C20" s="182">
        <f>SUM(C13:C19)</f>
        <v>17778833.333333336</v>
      </c>
      <c r="D20" s="183"/>
      <c r="E20" s="173"/>
    </row>
    <row r="21" spans="1:14" s="144" customFormat="1">
      <c r="A21" s="184"/>
      <c r="B21" s="185"/>
      <c r="C21" s="186"/>
      <c r="D21" s="187"/>
      <c r="E21" s="173"/>
      <c r="N21" s="166"/>
    </row>
    <row r="22" spans="1:14" s="144" customFormat="1">
      <c r="A22" s="190" t="s">
        <v>199</v>
      </c>
      <c r="B22" s="154" t="s">
        <v>200</v>
      </c>
      <c r="C22" s="155">
        <v>48000000</v>
      </c>
      <c r="D22" s="156"/>
      <c r="E22" s="173"/>
    </row>
    <row r="23" spans="1:14" s="144" customFormat="1">
      <c r="A23" s="343" t="s">
        <v>201</v>
      </c>
      <c r="B23" s="192" t="s">
        <v>273</v>
      </c>
      <c r="C23" s="155">
        <v>2400000</v>
      </c>
      <c r="D23" s="156"/>
      <c r="E23" s="173"/>
      <c r="N23" s="189"/>
    </row>
    <row r="24" spans="1:14" s="144" customFormat="1">
      <c r="A24" s="344"/>
      <c r="B24" s="192"/>
      <c r="C24" s="155"/>
      <c r="D24" s="156"/>
      <c r="E24" s="173"/>
      <c r="N24" s="189"/>
    </row>
    <row r="25" spans="1:14" s="144" customFormat="1">
      <c r="A25" s="344"/>
      <c r="B25" s="154"/>
      <c r="C25" s="155"/>
      <c r="D25" s="155"/>
      <c r="E25" s="173"/>
      <c r="N25" s="189"/>
    </row>
    <row r="26" spans="1:14" s="144" customFormat="1">
      <c r="A26" s="344"/>
      <c r="B26" s="154"/>
      <c r="C26" s="155"/>
      <c r="D26" s="156"/>
      <c r="E26" s="173"/>
      <c r="N26" s="189"/>
    </row>
    <row r="27" spans="1:14" s="144" customFormat="1">
      <c r="A27" s="352"/>
      <c r="B27" s="154"/>
      <c r="C27" s="195"/>
      <c r="D27" s="156"/>
      <c r="E27" s="196"/>
      <c r="F27" s="165"/>
      <c r="N27" s="189"/>
    </row>
    <row r="28" spans="1:14" s="144" customFormat="1">
      <c r="A28" s="343" t="s">
        <v>202</v>
      </c>
      <c r="B28" s="154" t="s">
        <v>19</v>
      </c>
      <c r="C28" s="155">
        <v>10603354</v>
      </c>
      <c r="D28" s="156"/>
      <c r="E28" s="173"/>
      <c r="F28" s="188"/>
      <c r="G28" s="188"/>
      <c r="H28" s="188"/>
      <c r="I28" s="188"/>
      <c r="J28" s="188"/>
      <c r="K28" s="188"/>
      <c r="L28" s="188"/>
      <c r="M28" s="189"/>
      <c r="N28" s="189"/>
    </row>
    <row r="29" spans="1:14" s="144" customFormat="1">
      <c r="A29" s="344"/>
      <c r="B29" s="154" t="s">
        <v>20</v>
      </c>
      <c r="C29" s="155">
        <v>600000</v>
      </c>
      <c r="D29" s="156"/>
      <c r="E29" s="173"/>
      <c r="F29" s="188"/>
      <c r="G29" s="188"/>
      <c r="H29" s="188"/>
      <c r="I29" s="188"/>
      <c r="J29" s="188"/>
      <c r="K29" s="188"/>
      <c r="L29" s="188"/>
      <c r="M29" s="191"/>
      <c r="N29" s="189"/>
    </row>
    <row r="30" spans="1:14" s="144" customFormat="1">
      <c r="A30" s="344"/>
      <c r="B30" s="154" t="s">
        <v>203</v>
      </c>
      <c r="C30" s="155">
        <v>0</v>
      </c>
      <c r="D30" s="156"/>
      <c r="E30" s="173"/>
      <c r="F30" s="173"/>
      <c r="G30" s="173"/>
      <c r="H30" s="173"/>
      <c r="I30" s="173"/>
      <c r="J30" s="193"/>
      <c r="K30" s="194"/>
      <c r="L30" s="173"/>
      <c r="M30" s="173"/>
      <c r="N30" s="189"/>
    </row>
    <row r="31" spans="1:14" s="144" customFormat="1">
      <c r="A31" s="344"/>
      <c r="B31" s="154" t="s">
        <v>204</v>
      </c>
      <c r="C31" s="155">
        <v>300000</v>
      </c>
      <c r="D31" s="155"/>
      <c r="E31" s="149"/>
      <c r="F31" s="173"/>
      <c r="G31" s="173"/>
      <c r="H31" s="173"/>
      <c r="I31" s="173"/>
      <c r="J31" s="193"/>
      <c r="K31" s="194"/>
      <c r="L31" s="173"/>
      <c r="M31" s="173"/>
    </row>
    <row r="32" spans="1:14" s="144" customFormat="1">
      <c r="A32" s="344"/>
      <c r="B32" s="154" t="s">
        <v>205</v>
      </c>
      <c r="C32" s="155"/>
      <c r="D32" s="156"/>
      <c r="E32" s="149"/>
      <c r="F32" s="173"/>
      <c r="G32" s="173"/>
      <c r="H32" s="173"/>
      <c r="I32" s="173"/>
      <c r="J32" s="193"/>
      <c r="K32" s="194"/>
      <c r="L32" s="173"/>
      <c r="M32" s="173"/>
    </row>
    <row r="33" spans="1:13" s="144" customFormat="1">
      <c r="A33" s="344"/>
      <c r="B33" s="154" t="s">
        <v>206</v>
      </c>
      <c r="C33" s="155"/>
      <c r="D33" s="156"/>
      <c r="E33" s="149"/>
      <c r="F33" s="173"/>
      <c r="G33" s="173"/>
      <c r="H33" s="173"/>
      <c r="I33" s="173"/>
      <c r="J33" s="193"/>
      <c r="K33" s="194"/>
      <c r="L33" s="173"/>
      <c r="M33" s="173"/>
    </row>
    <row r="34" spans="1:13" s="144" customFormat="1">
      <c r="A34" s="198" t="s">
        <v>207</v>
      </c>
      <c r="B34" s="145"/>
      <c r="C34" s="147">
        <f>SUM(C22:C33)</f>
        <v>61903354</v>
      </c>
      <c r="D34" s="156"/>
      <c r="E34" s="149"/>
      <c r="F34" s="173"/>
      <c r="G34" s="173"/>
      <c r="H34" s="173"/>
      <c r="I34" s="173"/>
      <c r="J34" s="193"/>
      <c r="K34" s="194"/>
      <c r="L34" s="173"/>
      <c r="M34" s="173"/>
    </row>
    <row r="35" spans="1:13" s="144" customFormat="1">
      <c r="A35" s="353" t="s">
        <v>208</v>
      </c>
      <c r="B35" s="154" t="s">
        <v>21</v>
      </c>
      <c r="C35" s="155">
        <f>'[10]THÁNG 4 '!$W$118</f>
        <v>1453103.8690127791</v>
      </c>
      <c r="D35" s="155"/>
      <c r="E35" s="143"/>
      <c r="F35" s="173"/>
      <c r="G35" s="173"/>
      <c r="H35" s="173"/>
      <c r="I35" s="173"/>
      <c r="J35" s="193"/>
      <c r="K35" s="194"/>
      <c r="L35" s="173"/>
      <c r="M35" s="173"/>
    </row>
    <row r="36" spans="1:13" s="144" customFormat="1">
      <c r="A36" s="354"/>
      <c r="B36" s="154" t="s">
        <v>22</v>
      </c>
      <c r="C36" s="155">
        <f>(12000000/1293)*15</f>
        <v>139211.13689095128</v>
      </c>
      <c r="D36" s="155"/>
      <c r="E36" s="143"/>
      <c r="F36" s="173"/>
      <c r="G36" s="173"/>
      <c r="H36" s="173"/>
      <c r="I36" s="173"/>
      <c r="J36" s="193"/>
      <c r="K36" s="194"/>
      <c r="L36" s="173"/>
      <c r="M36" s="173"/>
    </row>
    <row r="37" spans="1:13" s="144" customFormat="1">
      <c r="A37" s="354"/>
      <c r="B37" s="154" t="s">
        <v>209</v>
      </c>
      <c r="C37" s="155">
        <f>(10000000/1293)*15+7000*15</f>
        <v>221009.28074245941</v>
      </c>
      <c r="D37" s="155"/>
      <c r="E37" s="143"/>
      <c r="F37" s="149"/>
      <c r="G37" s="149"/>
      <c r="H37" s="149"/>
      <c r="I37" s="149"/>
      <c r="J37" s="143"/>
      <c r="K37" s="197"/>
      <c r="L37" s="149"/>
      <c r="M37" s="149"/>
    </row>
    <row r="38" spans="1:13" s="144" customFormat="1">
      <c r="A38" s="354"/>
      <c r="B38" s="154" t="s">
        <v>24</v>
      </c>
      <c r="C38" s="155">
        <f>(8000000/1293)*15+5000*15</f>
        <v>167807.4245939675</v>
      </c>
      <c r="D38" s="155"/>
      <c r="E38" s="143"/>
      <c r="F38" s="149"/>
      <c r="G38" s="149"/>
      <c r="H38" s="149"/>
      <c r="I38" s="149"/>
      <c r="J38" s="143"/>
      <c r="K38" s="197"/>
      <c r="L38" s="149"/>
      <c r="M38" s="149"/>
    </row>
    <row r="39" spans="1:13" s="144" customFormat="1">
      <c r="A39" s="354"/>
      <c r="B39" s="154" t="s">
        <v>255</v>
      </c>
      <c r="C39" s="155">
        <f>(3000000/1293)*15</f>
        <v>34802.784222737821</v>
      </c>
      <c r="D39" s="155"/>
      <c r="E39" s="143"/>
      <c r="F39" s="149"/>
      <c r="G39" s="149"/>
      <c r="H39" s="149"/>
      <c r="I39" s="149"/>
      <c r="J39" s="143"/>
      <c r="K39" s="197"/>
      <c r="L39" s="149"/>
      <c r="M39" s="149"/>
    </row>
    <row r="40" spans="1:13" s="144" customFormat="1">
      <c r="A40" s="354"/>
      <c r="B40" s="154" t="s">
        <v>210</v>
      </c>
      <c r="C40" s="155">
        <f>(SUM('[10]THÁNG 4 '!$Y$126/1293)*15)</f>
        <v>500044.61716937355</v>
      </c>
      <c r="D40" s="155"/>
      <c r="E40" s="143"/>
      <c r="F40" s="149"/>
      <c r="G40" s="149"/>
      <c r="H40" s="149"/>
      <c r="I40" s="149"/>
      <c r="J40" s="143"/>
      <c r="K40" s="197"/>
      <c r="L40" s="149"/>
      <c r="M40" s="149"/>
    </row>
    <row r="41" spans="1:13" s="144" customFormat="1">
      <c r="A41" s="354"/>
      <c r="B41" s="154" t="s">
        <v>26</v>
      </c>
      <c r="C41" s="155">
        <v>550000</v>
      </c>
      <c r="D41" s="155"/>
      <c r="E41" s="143"/>
      <c r="F41" s="149"/>
      <c r="G41" s="149"/>
      <c r="H41" s="149"/>
      <c r="I41" s="149"/>
      <c r="J41" s="143"/>
      <c r="K41" s="197"/>
      <c r="L41" s="149"/>
      <c r="M41" s="149"/>
    </row>
    <row r="42" spans="1:13" s="144" customFormat="1">
      <c r="A42" s="354"/>
      <c r="B42" s="154" t="s">
        <v>27</v>
      </c>
      <c r="C42" s="155">
        <f>150000+10000+(2000000/1293)*15</f>
        <v>183201.85614849188</v>
      </c>
      <c r="D42" s="155"/>
      <c r="E42" s="143"/>
      <c r="F42" s="149"/>
      <c r="G42" s="149"/>
      <c r="H42" s="149"/>
      <c r="I42" s="149"/>
      <c r="J42" s="143"/>
      <c r="K42" s="197"/>
      <c r="L42" s="149"/>
      <c r="M42" s="149"/>
    </row>
    <row r="43" spans="1:13" s="144" customFormat="1">
      <c r="A43" s="354"/>
      <c r="B43" s="154" t="s">
        <v>28</v>
      </c>
      <c r="C43" s="155">
        <f>(22000000/1293)*15</f>
        <v>255220.41763341066</v>
      </c>
      <c r="D43" s="155"/>
      <c r="E43" s="143"/>
      <c r="F43" s="149"/>
      <c r="G43" s="149"/>
      <c r="H43" s="149"/>
      <c r="I43" s="149"/>
      <c r="J43" s="143"/>
      <c r="K43" s="197"/>
      <c r="L43" s="149"/>
      <c r="M43" s="149"/>
    </row>
    <row r="44" spans="1:13" s="144" customFormat="1">
      <c r="A44" s="354"/>
      <c r="B44" s="154" t="s">
        <v>29</v>
      </c>
      <c r="C44" s="155"/>
      <c r="D44" s="155"/>
      <c r="E44" s="143"/>
      <c r="F44" s="149"/>
      <c r="G44" s="149"/>
      <c r="H44" s="149"/>
      <c r="I44" s="149"/>
      <c r="J44" s="143"/>
      <c r="K44" s="197"/>
      <c r="L44" s="149"/>
      <c r="M44" s="149"/>
    </row>
    <row r="45" spans="1:13" s="144" customFormat="1">
      <c r="A45" s="355"/>
      <c r="B45" s="154" t="s">
        <v>211</v>
      </c>
      <c r="C45" s="155">
        <f>('[11]THÁNG 4.26 '!$B$35/1293)*15</f>
        <v>1118120.626450116</v>
      </c>
      <c r="D45" s="155"/>
      <c r="E45" s="143"/>
      <c r="F45" s="149"/>
      <c r="G45" s="149"/>
      <c r="H45" s="149"/>
      <c r="I45" s="149"/>
      <c r="J45" s="143"/>
      <c r="K45" s="197"/>
      <c r="L45" s="149"/>
      <c r="M45" s="149"/>
    </row>
    <row r="46" spans="1:13" s="144" customFormat="1">
      <c r="A46" s="343" t="s">
        <v>212</v>
      </c>
      <c r="B46" s="349" t="s">
        <v>31</v>
      </c>
      <c r="C46" s="155">
        <f>('[11]THÁNG 4.26 '!$F$10/1293)*15</f>
        <v>382263.34106728539</v>
      </c>
      <c r="D46" s="155"/>
      <c r="E46" s="143"/>
      <c r="F46" s="149"/>
      <c r="G46" s="149"/>
      <c r="H46" s="149"/>
      <c r="I46" s="149"/>
      <c r="J46" s="143"/>
      <c r="K46" s="197"/>
      <c r="L46" s="149"/>
      <c r="M46" s="149"/>
    </row>
    <row r="47" spans="1:13" s="144" customFormat="1">
      <c r="A47" s="344"/>
      <c r="B47" s="350"/>
      <c r="C47" s="155">
        <v>1900000</v>
      </c>
      <c r="D47" s="155" t="s">
        <v>269</v>
      </c>
      <c r="E47" s="143"/>
      <c r="F47" s="149"/>
      <c r="G47" s="149"/>
      <c r="H47" s="149"/>
      <c r="I47" s="149"/>
      <c r="J47" s="143"/>
      <c r="K47" s="197"/>
      <c r="L47" s="149"/>
      <c r="M47" s="149"/>
    </row>
    <row r="48" spans="1:13" s="144" customFormat="1">
      <c r="A48" s="344"/>
      <c r="B48" s="350"/>
      <c r="C48" s="155"/>
      <c r="D48" s="155"/>
      <c r="E48" s="143"/>
      <c r="F48" s="149"/>
      <c r="G48" s="149"/>
      <c r="H48" s="149"/>
      <c r="I48" s="149"/>
      <c r="J48" s="143"/>
      <c r="K48" s="197"/>
      <c r="L48" s="149"/>
      <c r="M48" s="149"/>
    </row>
    <row r="49" spans="1:13" s="144" customFormat="1">
      <c r="A49" s="344"/>
      <c r="B49" s="351"/>
      <c r="C49" s="155"/>
      <c r="D49" s="155"/>
      <c r="E49" s="143"/>
      <c r="F49" s="149"/>
      <c r="G49" s="149"/>
      <c r="H49" s="149"/>
      <c r="I49" s="149"/>
      <c r="J49" s="143"/>
      <c r="K49" s="197"/>
      <c r="L49" s="149"/>
      <c r="M49" s="149"/>
    </row>
    <row r="50" spans="1:13" s="144" customFormat="1">
      <c r="A50" s="344"/>
      <c r="B50" s="356" t="s">
        <v>213</v>
      </c>
      <c r="C50" s="155">
        <v>760000</v>
      </c>
      <c r="D50" s="199" t="s">
        <v>271</v>
      </c>
      <c r="E50" s="143"/>
      <c r="F50" s="149"/>
      <c r="G50" s="149"/>
      <c r="H50" s="149"/>
      <c r="I50" s="149"/>
      <c r="J50" s="143"/>
      <c r="K50" s="197"/>
      <c r="L50" s="149"/>
      <c r="M50" s="149"/>
    </row>
    <row r="51" spans="1:13" s="144" customFormat="1" ht="24" customHeight="1">
      <c r="A51" s="344"/>
      <c r="B51" s="357"/>
      <c r="C51" s="200"/>
      <c r="D51" s="199"/>
      <c r="E51" s="143"/>
      <c r="F51" s="149"/>
      <c r="G51" s="149"/>
      <c r="H51" s="149"/>
      <c r="I51" s="149"/>
      <c r="J51" s="143"/>
      <c r="K51" s="197"/>
      <c r="L51" s="149"/>
      <c r="M51" s="149"/>
    </row>
    <row r="52" spans="1:13" s="144" customFormat="1">
      <c r="A52" s="344"/>
      <c r="B52" s="357"/>
      <c r="C52" s="200"/>
      <c r="D52" s="199"/>
      <c r="E52" s="143"/>
      <c r="F52" s="149"/>
      <c r="G52" s="149"/>
      <c r="H52" s="149"/>
      <c r="I52" s="149"/>
      <c r="J52" s="143"/>
      <c r="K52" s="197"/>
      <c r="L52" s="149"/>
      <c r="M52" s="149"/>
    </row>
    <row r="53" spans="1:13" s="144" customFormat="1">
      <c r="A53" s="344"/>
      <c r="B53" s="357"/>
      <c r="C53" s="200"/>
      <c r="D53" s="199"/>
      <c r="E53" s="143"/>
      <c r="F53" s="149"/>
      <c r="G53" s="149"/>
      <c r="H53" s="149"/>
      <c r="I53" s="149"/>
      <c r="J53" s="143"/>
      <c r="K53" s="197"/>
      <c r="L53" s="149"/>
      <c r="M53" s="149"/>
    </row>
    <row r="54" spans="1:13" s="144" customFormat="1">
      <c r="A54" s="344"/>
      <c r="B54" s="357"/>
      <c r="C54" s="200"/>
      <c r="D54" s="199"/>
      <c r="E54" s="143"/>
      <c r="F54" s="149"/>
      <c r="G54" s="149"/>
      <c r="H54" s="149"/>
      <c r="I54" s="149"/>
      <c r="J54" s="143"/>
      <c r="K54" s="197"/>
      <c r="L54" s="149"/>
      <c r="M54" s="149"/>
    </row>
    <row r="55" spans="1:13" s="144" customFormat="1">
      <c r="A55" s="344"/>
      <c r="B55" s="357"/>
      <c r="C55" s="200"/>
      <c r="D55" s="199"/>
      <c r="E55" s="143"/>
      <c r="F55" s="149"/>
      <c r="G55" s="149"/>
      <c r="H55" s="149"/>
      <c r="I55" s="149"/>
      <c r="J55" s="143"/>
      <c r="K55" s="197"/>
      <c r="L55" s="149"/>
      <c r="M55" s="149"/>
    </row>
    <row r="56" spans="1:13" s="144" customFormat="1">
      <c r="A56" s="344"/>
      <c r="B56" s="357"/>
      <c r="C56" s="200"/>
      <c r="D56" s="199"/>
      <c r="E56" s="143"/>
      <c r="F56" s="149"/>
      <c r="G56" s="149"/>
      <c r="H56" s="149"/>
      <c r="I56" s="149"/>
      <c r="J56" s="143"/>
      <c r="K56" s="197"/>
      <c r="L56" s="149"/>
      <c r="M56" s="149"/>
    </row>
    <row r="57" spans="1:13" s="144" customFormat="1">
      <c r="A57" s="344"/>
      <c r="B57" s="357"/>
      <c r="C57" s="201"/>
      <c r="D57" s="202"/>
      <c r="E57" s="143"/>
      <c r="F57" s="149"/>
      <c r="G57" s="149"/>
      <c r="H57" s="149"/>
      <c r="I57" s="149"/>
      <c r="J57" s="143"/>
      <c r="K57" s="197"/>
      <c r="L57" s="149"/>
      <c r="M57" s="149"/>
    </row>
    <row r="58" spans="1:13" s="144" customFormat="1">
      <c r="A58" s="344"/>
      <c r="B58" s="357"/>
      <c r="C58" s="201"/>
      <c r="D58" s="202"/>
      <c r="E58" s="143"/>
      <c r="F58" s="149"/>
      <c r="G58" s="149"/>
      <c r="H58" s="149"/>
      <c r="I58" s="149"/>
      <c r="J58" s="143"/>
      <c r="K58" s="197"/>
      <c r="L58" s="149"/>
      <c r="M58" s="149"/>
    </row>
    <row r="59" spans="1:13" s="144" customFormat="1">
      <c r="A59" s="344"/>
      <c r="B59" s="357"/>
      <c r="C59" s="201"/>
      <c r="D59" s="202"/>
      <c r="E59" s="143"/>
      <c r="F59" s="149"/>
      <c r="G59" s="149"/>
      <c r="H59" s="149"/>
      <c r="I59" s="149"/>
      <c r="J59" s="143"/>
      <c r="K59" s="197"/>
      <c r="L59" s="149"/>
      <c r="M59" s="149"/>
    </row>
    <row r="60" spans="1:13" s="144" customFormat="1">
      <c r="A60" s="344"/>
      <c r="B60" s="357"/>
      <c r="C60" s="201"/>
      <c r="D60" s="202"/>
      <c r="E60" s="143"/>
      <c r="F60" s="149"/>
      <c r="G60" s="149"/>
      <c r="H60" s="149"/>
      <c r="I60" s="149"/>
      <c r="J60" s="143"/>
      <c r="K60" s="197"/>
      <c r="L60" s="149"/>
      <c r="M60" s="149"/>
    </row>
    <row r="61" spans="1:13" s="144" customFormat="1">
      <c r="A61" s="344"/>
      <c r="B61" s="357"/>
      <c r="C61" s="201"/>
      <c r="D61" s="202"/>
      <c r="E61" s="143"/>
      <c r="F61" s="149"/>
      <c r="G61" s="149"/>
      <c r="H61" s="149"/>
      <c r="I61" s="149"/>
      <c r="J61" s="143"/>
      <c r="K61" s="197"/>
      <c r="L61" s="149"/>
      <c r="M61" s="149"/>
    </row>
    <row r="62" spans="1:13" s="144" customFormat="1">
      <c r="A62" s="344"/>
      <c r="B62" s="357"/>
      <c r="C62" s="201"/>
      <c r="D62" s="202"/>
      <c r="E62" s="143"/>
      <c r="F62" s="149"/>
      <c r="G62" s="149"/>
      <c r="H62" s="149"/>
      <c r="I62" s="149"/>
      <c r="J62" s="143"/>
      <c r="K62" s="197"/>
      <c r="L62" s="149"/>
      <c r="M62" s="149"/>
    </row>
    <row r="63" spans="1:13" s="144" customFormat="1">
      <c r="A63" s="344"/>
      <c r="B63" s="357"/>
      <c r="C63" s="201"/>
      <c r="D63" s="202"/>
      <c r="E63" s="149"/>
      <c r="F63" s="149"/>
      <c r="G63" s="149"/>
      <c r="H63" s="149"/>
      <c r="I63" s="149"/>
      <c r="J63" s="143"/>
      <c r="K63" s="197"/>
      <c r="L63" s="149"/>
      <c r="M63" s="149"/>
    </row>
    <row r="64" spans="1:13" s="144" customFormat="1">
      <c r="A64" s="344"/>
      <c r="B64" s="358"/>
      <c r="C64" s="201"/>
      <c r="D64" s="202"/>
      <c r="E64" s="143"/>
      <c r="F64" s="149"/>
      <c r="G64" s="149"/>
      <c r="H64" s="149"/>
      <c r="I64" s="149"/>
      <c r="J64" s="143"/>
      <c r="K64" s="197"/>
      <c r="L64" s="149"/>
      <c r="M64" s="149"/>
    </row>
    <row r="65" spans="1:13" s="144" customFormat="1">
      <c r="A65" s="344"/>
      <c r="B65" s="357" t="s">
        <v>214</v>
      </c>
      <c r="C65" s="200">
        <v>100000</v>
      </c>
      <c r="D65" s="199" t="s">
        <v>270</v>
      </c>
      <c r="E65" s="143"/>
      <c r="F65" s="149"/>
      <c r="G65" s="149"/>
      <c r="H65" s="149"/>
      <c r="I65" s="149"/>
      <c r="J65" s="143"/>
      <c r="K65" s="197"/>
      <c r="L65" s="149"/>
      <c r="M65" s="149"/>
    </row>
    <row r="66" spans="1:13" s="144" customFormat="1">
      <c r="A66" s="344"/>
      <c r="B66" s="357"/>
      <c r="C66" s="200">
        <v>415000</v>
      </c>
      <c r="D66" s="199" t="s">
        <v>272</v>
      </c>
      <c r="E66" s="143"/>
      <c r="F66" s="149"/>
      <c r="G66" s="149"/>
      <c r="H66" s="149"/>
      <c r="I66" s="149"/>
      <c r="J66" s="143"/>
      <c r="K66" s="197"/>
      <c r="L66" s="149"/>
      <c r="M66" s="149"/>
    </row>
    <row r="67" spans="1:13" s="144" customFormat="1">
      <c r="A67" s="344"/>
      <c r="B67" s="357"/>
      <c r="C67" s="201">
        <v>81000</v>
      </c>
      <c r="D67" s="202" t="s">
        <v>274</v>
      </c>
      <c r="E67" s="143"/>
      <c r="F67" s="149"/>
      <c r="G67" s="149"/>
      <c r="H67" s="149"/>
      <c r="I67" s="149"/>
      <c r="J67" s="143"/>
      <c r="K67" s="197"/>
      <c r="L67" s="149"/>
      <c r="M67" s="149"/>
    </row>
    <row r="68" spans="1:13" s="144" customFormat="1">
      <c r="A68" s="352"/>
      <c r="B68" s="358"/>
      <c r="C68" s="155"/>
      <c r="D68" s="156"/>
      <c r="E68" s="143"/>
      <c r="F68" s="149"/>
      <c r="G68" s="149"/>
      <c r="H68" s="149"/>
      <c r="I68" s="149"/>
      <c r="J68" s="143"/>
      <c r="K68" s="197"/>
      <c r="L68" s="149"/>
      <c r="M68" s="149"/>
    </row>
    <row r="69" spans="1:13" s="144" customFormat="1">
      <c r="A69" s="198" t="s">
        <v>215</v>
      </c>
      <c r="B69" s="145"/>
      <c r="C69" s="203">
        <f>SUM(C35:C68)</f>
        <v>8260785.3539315732</v>
      </c>
      <c r="D69" s="36"/>
      <c r="E69" s="149"/>
      <c r="F69" s="149"/>
      <c r="G69" s="149"/>
      <c r="H69" s="149"/>
      <c r="I69" s="149"/>
      <c r="J69" s="143"/>
      <c r="K69" s="197"/>
      <c r="L69" s="149"/>
      <c r="M69" s="149"/>
    </row>
    <row r="70" spans="1:13" s="144" customFormat="1">
      <c r="A70" s="204" t="s">
        <v>216</v>
      </c>
      <c r="B70" s="205"/>
      <c r="C70" s="206">
        <f>C34+C69</f>
        <v>70164139.353931576</v>
      </c>
      <c r="D70" s="36"/>
      <c r="E70" s="149"/>
      <c r="F70" s="149"/>
      <c r="G70" s="149"/>
      <c r="H70" s="149"/>
      <c r="I70" s="149"/>
      <c r="J70" s="143"/>
      <c r="K70" s="197"/>
      <c r="L70" s="149"/>
      <c r="M70" s="149"/>
    </row>
    <row r="71" spans="1:13" s="144" customFormat="1">
      <c r="A71" s="207" t="s">
        <v>217</v>
      </c>
      <c r="B71" s="207"/>
      <c r="C71" s="208">
        <f>C2-C34</f>
        <v>15691646</v>
      </c>
      <c r="D71" s="156" t="s">
        <v>218</v>
      </c>
      <c r="E71" s="143"/>
      <c r="F71" s="149"/>
      <c r="G71" s="149"/>
      <c r="H71" s="149"/>
      <c r="I71" s="149"/>
      <c r="J71" s="143"/>
      <c r="K71" s="197"/>
      <c r="L71" s="149"/>
      <c r="M71" s="149"/>
    </row>
    <row r="72" spans="1:13" s="144" customFormat="1">
      <c r="A72" s="209" t="s">
        <v>219</v>
      </c>
      <c r="B72" s="209"/>
      <c r="C72" s="210">
        <f>C2-C70</f>
        <v>7430860.646068424</v>
      </c>
      <c r="D72" s="156" t="s">
        <v>220</v>
      </c>
      <c r="E72" s="149"/>
      <c r="F72" s="149"/>
      <c r="G72" s="149"/>
      <c r="H72" s="149"/>
      <c r="I72" s="149"/>
      <c r="J72" s="143"/>
      <c r="K72" s="197"/>
      <c r="L72" s="149"/>
      <c r="M72" s="149"/>
    </row>
    <row r="73" spans="1:13" s="144" customFormat="1">
      <c r="A73" s="211" t="s">
        <v>207</v>
      </c>
      <c r="B73" s="211"/>
      <c r="C73" s="212">
        <f>C34</f>
        <v>61903354</v>
      </c>
      <c r="D73" s="156"/>
      <c r="E73" s="149"/>
      <c r="F73" s="149"/>
      <c r="G73" s="149"/>
      <c r="H73" s="149"/>
      <c r="I73" s="149"/>
      <c r="J73" s="143"/>
      <c r="K73" s="197"/>
      <c r="L73" s="149"/>
      <c r="M73" s="149"/>
    </row>
    <row r="74" spans="1:13" s="144" customFormat="1">
      <c r="A74" s="214" t="s">
        <v>221</v>
      </c>
      <c r="B74" s="215"/>
      <c r="C74" s="216">
        <f>C72/C2</f>
        <v>9.5764683885152704E-2</v>
      </c>
      <c r="D74" s="156"/>
      <c r="E74" s="149"/>
      <c r="J74" s="143"/>
      <c r="K74" s="197"/>
      <c r="L74" s="149"/>
      <c r="M74" s="149"/>
    </row>
    <row r="75" spans="1:13" s="144" customFormat="1">
      <c r="A75" s="214" t="s">
        <v>222</v>
      </c>
      <c r="B75" s="215"/>
      <c r="C75" s="216">
        <f>C71/C2</f>
        <v>0.20222496294864359</v>
      </c>
      <c r="D75" s="156"/>
      <c r="J75" s="143"/>
      <c r="K75" s="197"/>
      <c r="L75" s="149"/>
      <c r="M75" s="149"/>
    </row>
    <row r="76" spans="1:13" s="144" customFormat="1">
      <c r="A76" s="214" t="s">
        <v>223</v>
      </c>
      <c r="B76" s="215"/>
      <c r="C76" s="216">
        <f>C72/C73</f>
        <v>0.12003970973961159</v>
      </c>
      <c r="D76" s="156"/>
      <c r="J76" s="143"/>
      <c r="K76" s="197"/>
      <c r="L76" s="149"/>
      <c r="M76" s="149"/>
    </row>
    <row r="77" spans="1:13">
      <c r="A77" s="214" t="s">
        <v>224</v>
      </c>
      <c r="B77" s="215"/>
      <c r="C77" s="216">
        <f>C72/C71</f>
        <v>0.47355520549395674</v>
      </c>
      <c r="D77" s="156"/>
      <c r="F77" s="144"/>
      <c r="G77" s="144"/>
      <c r="H77" s="144"/>
      <c r="I77" s="144"/>
      <c r="J77" s="143"/>
      <c r="K77" s="197"/>
      <c r="L77" s="149"/>
      <c r="M77" s="149"/>
    </row>
    <row r="78" spans="1:13">
      <c r="A78" s="214" t="s">
        <v>179</v>
      </c>
      <c r="B78" s="215"/>
      <c r="C78" s="217">
        <f>C70/C71</f>
        <v>4.4714327199282708</v>
      </c>
      <c r="D78" s="156"/>
      <c r="F78" s="144"/>
      <c r="G78" s="144"/>
      <c r="H78" s="144"/>
      <c r="I78" s="144"/>
      <c r="J78" s="143"/>
      <c r="K78" s="197"/>
      <c r="L78" s="149"/>
      <c r="M78" s="149"/>
    </row>
    <row r="79" spans="1:13">
      <c r="A79" s="214" t="s">
        <v>225</v>
      </c>
      <c r="B79" s="218"/>
      <c r="C79" s="218">
        <f>C73/C2</f>
        <v>0.79777503705135644</v>
      </c>
      <c r="D79" s="9"/>
      <c r="F79" s="144"/>
      <c r="G79" s="144"/>
      <c r="H79" s="144"/>
      <c r="I79" s="144"/>
      <c r="J79" s="143"/>
      <c r="K79" s="197"/>
      <c r="L79" s="149"/>
      <c r="M79" s="149"/>
    </row>
    <row r="80" spans="1:13">
      <c r="A80" s="214" t="s">
        <v>226</v>
      </c>
      <c r="B80" s="218"/>
      <c r="C80" s="218">
        <f>C69/C2</f>
        <v>0.10646027906349086</v>
      </c>
      <c r="D80" s="9"/>
      <c r="F80" s="144"/>
      <c r="G80" s="144"/>
      <c r="H80" s="144"/>
      <c r="I80" s="144"/>
      <c r="J80" s="149"/>
      <c r="K80" s="213"/>
      <c r="L80" s="149"/>
      <c r="M80" s="149"/>
    </row>
    <row r="81" spans="1:13">
      <c r="A81" s="214" t="s">
        <v>227</v>
      </c>
      <c r="B81" s="218"/>
      <c r="C81" s="218">
        <f>C70/C2</f>
        <v>0.90423531611484731</v>
      </c>
      <c r="D81" s="9"/>
      <c r="F81" s="144"/>
      <c r="G81" s="144"/>
      <c r="H81" s="144"/>
      <c r="I81" s="144"/>
      <c r="J81" s="149"/>
      <c r="K81" s="213"/>
      <c r="L81" s="149"/>
      <c r="M81" s="149"/>
    </row>
    <row r="82" spans="1:13">
      <c r="A82" s="214" t="s">
        <v>228</v>
      </c>
      <c r="B82" s="218"/>
      <c r="C82" s="218">
        <f>SUM(C35:C44)/C69</f>
        <v>0.42422133444567889</v>
      </c>
      <c r="D82" s="9"/>
      <c r="F82" s="144"/>
      <c r="G82" s="144"/>
      <c r="H82" s="144"/>
      <c r="I82" s="144"/>
      <c r="J82" s="149"/>
      <c r="K82" s="213"/>
      <c r="L82" s="149"/>
      <c r="M82" s="149"/>
    </row>
    <row r="83" spans="1:13">
      <c r="A83" s="214" t="s">
        <v>229</v>
      </c>
      <c r="B83" s="218"/>
      <c r="C83" s="218">
        <f>SUM(C46:C49)/C69</f>
        <v>0.27627679975743258</v>
      </c>
      <c r="D83" s="9"/>
    </row>
    <row r="84" spans="1:13">
      <c r="A84" s="214" t="s">
        <v>230</v>
      </c>
      <c r="B84" s="218"/>
      <c r="C84" s="218">
        <f>SUM(C65:C68)/C69</f>
        <v>7.2148103898661942E-2</v>
      </c>
      <c r="D84" s="9"/>
    </row>
  </sheetData>
  <mergeCells count="11">
    <mergeCell ref="A35:A45"/>
    <mergeCell ref="A46:A68"/>
    <mergeCell ref="B46:B49"/>
    <mergeCell ref="B50:B64"/>
    <mergeCell ref="B65:B68"/>
    <mergeCell ref="A28:A33"/>
    <mergeCell ref="A1:D1"/>
    <mergeCell ref="F1:M1"/>
    <mergeCell ref="A3:A5"/>
    <mergeCell ref="A7:A8"/>
    <mergeCell ref="A23:A2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0083A-18C5-429E-8436-6ABA72F2110A}">
  <dimension ref="A1:CG19"/>
  <sheetViews>
    <sheetView topLeftCell="AU1" workbookViewId="0">
      <selection activeCell="I18" sqref="I18"/>
    </sheetView>
  </sheetViews>
  <sheetFormatPr defaultRowHeight="14.5"/>
  <cols>
    <col min="4" max="4" width="19.36328125" customWidth="1"/>
    <col min="6" max="6" width="12.6328125" customWidth="1"/>
    <col min="7" max="7" width="13" customWidth="1"/>
    <col min="8" max="8" width="12.6328125" customWidth="1"/>
    <col min="9" max="9" width="15.81640625" customWidth="1"/>
    <col min="10" max="10" width="14" customWidth="1"/>
    <col min="13" max="13" width="12.453125" customWidth="1"/>
    <col min="47" max="47" width="10.26953125" customWidth="1"/>
    <col min="48" max="48" width="12.453125" customWidth="1"/>
    <col min="49" max="49" width="35.36328125" customWidth="1"/>
    <col min="50" max="50" width="14" customWidth="1"/>
    <col min="51" max="51" width="12.81640625" customWidth="1"/>
    <col min="52" max="52" width="11.453125" customWidth="1"/>
  </cols>
  <sheetData>
    <row r="1" spans="1:85">
      <c r="A1" s="219" t="s">
        <v>88</v>
      </c>
      <c r="B1" s="220" t="s">
        <v>8</v>
      </c>
      <c r="C1" s="220" t="s">
        <v>9</v>
      </c>
      <c r="D1" s="221" t="s">
        <v>89</v>
      </c>
      <c r="E1" s="220" t="s">
        <v>90</v>
      </c>
      <c r="F1" s="222" t="s">
        <v>231</v>
      </c>
      <c r="G1" s="220" t="s">
        <v>91</v>
      </c>
      <c r="H1" s="220" t="s">
        <v>92</v>
      </c>
      <c r="I1" s="223" t="s">
        <v>93</v>
      </c>
      <c r="J1" s="220" t="s">
        <v>133</v>
      </c>
      <c r="K1" s="220" t="s">
        <v>95</v>
      </c>
      <c r="L1" s="220" t="s">
        <v>96</v>
      </c>
      <c r="M1" s="224" t="s">
        <v>232</v>
      </c>
      <c r="N1" s="220" t="s">
        <v>98</v>
      </c>
      <c r="O1" s="220" t="s">
        <v>99</v>
      </c>
      <c r="P1" s="375" t="s">
        <v>100</v>
      </c>
      <c r="Q1" s="372"/>
      <c r="R1" s="372"/>
      <c r="S1" s="372"/>
      <c r="T1" s="373"/>
      <c r="U1" s="376" t="s">
        <v>20</v>
      </c>
      <c r="V1" s="372"/>
      <c r="W1" s="372"/>
      <c r="X1" s="372"/>
      <c r="Y1" s="373"/>
      <c r="Z1" s="377" t="s">
        <v>101</v>
      </c>
      <c r="AA1" s="372"/>
      <c r="AB1" s="373"/>
      <c r="AC1" s="378" t="s">
        <v>102</v>
      </c>
      <c r="AD1" s="372"/>
      <c r="AE1" s="373"/>
      <c r="AF1" s="379" t="s">
        <v>103</v>
      </c>
      <c r="AG1" s="372"/>
      <c r="AH1" s="373"/>
      <c r="AI1" s="380" t="s">
        <v>104</v>
      </c>
      <c r="AJ1" s="372"/>
      <c r="AK1" s="373"/>
      <c r="AL1" s="371" t="s">
        <v>105</v>
      </c>
      <c r="AM1" s="372"/>
      <c r="AN1" s="373"/>
      <c r="AO1" s="371" t="s">
        <v>106</v>
      </c>
      <c r="AP1" s="372"/>
      <c r="AQ1" s="373"/>
      <c r="AR1" s="371" t="s">
        <v>233</v>
      </c>
      <c r="AS1" s="372"/>
      <c r="AT1" s="373"/>
      <c r="AU1" s="220" t="s">
        <v>107</v>
      </c>
      <c r="AV1" s="220" t="s">
        <v>108</v>
      </c>
      <c r="AW1" s="225" t="s">
        <v>109</v>
      </c>
      <c r="AX1" s="226" t="s">
        <v>234</v>
      </c>
      <c r="AY1" s="220" t="s">
        <v>111</v>
      </c>
      <c r="AZ1" s="227" t="s">
        <v>235</v>
      </c>
      <c r="BA1" s="374" t="s">
        <v>136</v>
      </c>
    </row>
    <row r="2" spans="1:85">
      <c r="A2" s="228"/>
      <c r="B2" s="229"/>
      <c r="C2" s="229"/>
      <c r="D2" s="230"/>
      <c r="E2" s="229"/>
      <c r="F2" s="229"/>
      <c r="G2" s="231">
        <f>SUM(G4:G19)</f>
        <v>61200000</v>
      </c>
      <c r="H2" s="231">
        <f t="shared" ref="H2:AW2" si="0">SUM(H4:H19)</f>
        <v>57500000</v>
      </c>
      <c r="I2" s="231">
        <f t="shared" si="0"/>
        <v>57500000</v>
      </c>
      <c r="J2" s="231">
        <f t="shared" si="0"/>
        <v>0</v>
      </c>
      <c r="K2" s="231">
        <f t="shared" si="0"/>
        <v>450</v>
      </c>
      <c r="L2" s="231">
        <f t="shared" si="0"/>
        <v>450</v>
      </c>
      <c r="M2" s="231">
        <f t="shared" si="0"/>
        <v>0</v>
      </c>
      <c r="N2" s="231">
        <f t="shared" si="0"/>
        <v>0</v>
      </c>
      <c r="O2" s="231">
        <f t="shared" si="0"/>
        <v>27</v>
      </c>
      <c r="P2" s="231">
        <f t="shared" si="0"/>
        <v>1576</v>
      </c>
      <c r="Q2" s="231">
        <f t="shared" si="0"/>
        <v>3085</v>
      </c>
      <c r="R2" s="231">
        <f t="shared" si="0"/>
        <v>2146</v>
      </c>
      <c r="S2" s="231">
        <f t="shared" si="0"/>
        <v>63500</v>
      </c>
      <c r="T2" s="231">
        <f t="shared" si="0"/>
        <v>8265500</v>
      </c>
      <c r="U2" s="231">
        <f t="shared" si="0"/>
        <v>0</v>
      </c>
      <c r="V2" s="231">
        <f t="shared" si="0"/>
        <v>0</v>
      </c>
      <c r="W2" s="231">
        <f t="shared" si="0"/>
        <v>27</v>
      </c>
      <c r="X2" s="231">
        <f t="shared" si="0"/>
        <v>1800000</v>
      </c>
      <c r="Y2" s="231">
        <f t="shared" si="0"/>
        <v>3240000</v>
      </c>
      <c r="Z2" s="231">
        <f t="shared" si="0"/>
        <v>0</v>
      </c>
      <c r="AA2" s="231">
        <f t="shared" si="0"/>
        <v>0</v>
      </c>
      <c r="AB2" s="231">
        <f t="shared" si="0"/>
        <v>0</v>
      </c>
      <c r="AC2" s="231">
        <f t="shared" si="0"/>
        <v>11</v>
      </c>
      <c r="AD2" s="231">
        <f t="shared" si="0"/>
        <v>1500000</v>
      </c>
      <c r="AE2" s="231">
        <f t="shared" si="0"/>
        <v>1100000</v>
      </c>
      <c r="AF2" s="231">
        <f t="shared" si="0"/>
        <v>26</v>
      </c>
      <c r="AG2" s="231">
        <f t="shared" si="0"/>
        <v>900000</v>
      </c>
      <c r="AH2" s="231">
        <f t="shared" si="0"/>
        <v>1560000</v>
      </c>
      <c r="AI2" s="231">
        <f t="shared" si="0"/>
        <v>3</v>
      </c>
      <c r="AJ2" s="231">
        <f t="shared" si="0"/>
        <v>700000</v>
      </c>
      <c r="AK2" s="231">
        <f t="shared" si="0"/>
        <v>700000</v>
      </c>
      <c r="AL2" s="231">
        <f t="shared" si="0"/>
        <v>0</v>
      </c>
      <c r="AM2" s="231">
        <f t="shared" si="0"/>
        <v>0</v>
      </c>
      <c r="AN2" s="231">
        <f t="shared" si="0"/>
        <v>0</v>
      </c>
      <c r="AO2" s="231">
        <f t="shared" si="0"/>
        <v>27</v>
      </c>
      <c r="AP2" s="231">
        <f t="shared" si="0"/>
        <v>1800000</v>
      </c>
      <c r="AQ2" s="231">
        <f t="shared" si="0"/>
        <v>3240000</v>
      </c>
      <c r="AR2" s="231">
        <f t="shared" si="0"/>
        <v>81</v>
      </c>
      <c r="AS2" s="231">
        <f t="shared" si="0"/>
        <v>8000</v>
      </c>
      <c r="AT2" s="231">
        <f t="shared" si="0"/>
        <v>324000</v>
      </c>
      <c r="AU2" s="231">
        <f>SUM(AU4:AU19)</f>
        <v>18429500</v>
      </c>
      <c r="AV2" s="231">
        <f>SUM(AV4:AV19)</f>
        <v>75929500</v>
      </c>
      <c r="AW2" s="231">
        <f t="shared" si="0"/>
        <v>0</v>
      </c>
      <c r="AX2" s="231">
        <f>SUM(AX4:AX19)</f>
        <v>77595000</v>
      </c>
      <c r="AY2" s="229"/>
      <c r="AZ2" s="232"/>
      <c r="BA2" s="374"/>
    </row>
    <row r="3" spans="1:85">
      <c r="A3" s="233"/>
      <c r="B3" s="233"/>
      <c r="C3" s="233"/>
      <c r="D3" s="234"/>
      <c r="E3" s="233"/>
      <c r="F3" s="233"/>
      <c r="G3" s="233"/>
      <c r="H3" s="233"/>
      <c r="I3" s="235"/>
      <c r="J3" s="233"/>
      <c r="K3" s="233"/>
      <c r="L3" s="233"/>
      <c r="M3" s="236" t="s">
        <v>236</v>
      </c>
      <c r="N3" s="233" t="s">
        <v>237</v>
      </c>
      <c r="O3" s="233"/>
      <c r="P3" s="237" t="s">
        <v>121</v>
      </c>
      <c r="Q3" s="237" t="s">
        <v>122</v>
      </c>
      <c r="R3" s="233" t="s">
        <v>123</v>
      </c>
      <c r="S3" s="233" t="s">
        <v>124</v>
      </c>
      <c r="T3" s="238" t="s">
        <v>125</v>
      </c>
      <c r="U3" s="237" t="s">
        <v>121</v>
      </c>
      <c r="V3" s="237" t="s">
        <v>126</v>
      </c>
      <c r="W3" s="233" t="s">
        <v>123</v>
      </c>
      <c r="X3" s="233" t="s">
        <v>124</v>
      </c>
      <c r="Y3" s="237" t="s">
        <v>125</v>
      </c>
      <c r="Z3" s="239" t="s">
        <v>123</v>
      </c>
      <c r="AA3" s="233" t="s">
        <v>124</v>
      </c>
      <c r="AB3" s="238" t="s">
        <v>125</v>
      </c>
      <c r="AC3" s="239" t="s">
        <v>123</v>
      </c>
      <c r="AD3" s="233" t="s">
        <v>124</v>
      </c>
      <c r="AE3" s="238" t="s">
        <v>125</v>
      </c>
      <c r="AF3" s="233" t="s">
        <v>123</v>
      </c>
      <c r="AG3" s="233" t="s">
        <v>124</v>
      </c>
      <c r="AH3" s="238" t="s">
        <v>125</v>
      </c>
      <c r="AI3" s="233" t="s">
        <v>123</v>
      </c>
      <c r="AJ3" s="233" t="s">
        <v>124</v>
      </c>
      <c r="AK3" s="238" t="s">
        <v>125</v>
      </c>
      <c r="AL3" s="233" t="s">
        <v>123</v>
      </c>
      <c r="AM3" s="233" t="s">
        <v>124</v>
      </c>
      <c r="AN3" s="238" t="s">
        <v>125</v>
      </c>
      <c r="AO3" s="233" t="s">
        <v>123</v>
      </c>
      <c r="AP3" s="233" t="s">
        <v>124</v>
      </c>
      <c r="AQ3" s="238" t="s">
        <v>125</v>
      </c>
      <c r="AR3" s="238" t="s">
        <v>123</v>
      </c>
      <c r="AS3" s="238" t="s">
        <v>124</v>
      </c>
      <c r="AT3" s="238" t="s">
        <v>125</v>
      </c>
      <c r="AU3" s="233"/>
      <c r="AV3" s="240"/>
      <c r="AW3" s="233"/>
      <c r="AX3" s="241"/>
      <c r="AY3" s="242">
        <f>AX3-AV3</f>
        <v>0</v>
      </c>
      <c r="AZ3" s="243"/>
      <c r="BA3" s="244"/>
    </row>
    <row r="4" spans="1:85" ht="19.5" customHeight="1">
      <c r="A4" s="301" t="s">
        <v>248</v>
      </c>
      <c r="B4" s="302" t="s">
        <v>144</v>
      </c>
      <c r="C4" s="285">
        <v>0</v>
      </c>
      <c r="D4" s="278"/>
      <c r="E4" s="285">
        <v>1</v>
      </c>
      <c r="F4" s="297"/>
      <c r="G4" s="297"/>
      <c r="H4" s="297"/>
      <c r="I4" s="297"/>
      <c r="J4" s="297"/>
      <c r="K4" s="285"/>
      <c r="L4" s="285"/>
      <c r="M4" s="303"/>
      <c r="N4" s="293"/>
      <c r="O4" s="304"/>
      <c r="P4" s="285"/>
      <c r="Q4" s="285"/>
      <c r="R4" s="285">
        <v>637</v>
      </c>
      <c r="S4" s="293">
        <v>3500</v>
      </c>
      <c r="T4" s="282">
        <f t="shared" ref="T4:T19" si="1">R4*S4</f>
        <v>2229500</v>
      </c>
      <c r="U4" s="285"/>
      <c r="V4" s="285"/>
      <c r="W4" s="304"/>
      <c r="X4" s="285"/>
      <c r="Y4" s="285"/>
      <c r="Z4" s="304"/>
      <c r="AA4" s="285"/>
      <c r="AB4" s="285"/>
      <c r="AC4" s="302"/>
      <c r="AD4" s="285"/>
      <c r="AE4" s="285"/>
      <c r="AF4" s="285"/>
      <c r="AG4" s="285"/>
      <c r="AH4" s="285"/>
      <c r="AI4" s="285"/>
      <c r="AJ4" s="285"/>
      <c r="AK4" s="285"/>
      <c r="AL4" s="304"/>
      <c r="AM4" s="285"/>
      <c r="AN4" s="305"/>
      <c r="AO4" s="285"/>
      <c r="AP4" s="285"/>
      <c r="AQ4" s="278"/>
      <c r="AR4" s="278"/>
      <c r="AS4" s="278"/>
      <c r="AT4" s="278"/>
      <c r="AU4" s="286">
        <f t="shared" ref="AU4:AU19" si="2">(SUM(T4,Y4,AB4,AE4,AH4,AK4,AN4,AQ4,AT4))</f>
        <v>2229500</v>
      </c>
      <c r="AV4" s="287">
        <f t="shared" ref="AV4:AV19" si="3">AU4+I4*E4+J4+M4+N4</f>
        <v>2229500</v>
      </c>
      <c r="AW4" s="285"/>
      <c r="AX4" s="306">
        <f>1629000+600000</f>
        <v>2229000</v>
      </c>
      <c r="AY4" s="289" t="str">
        <f t="shared" ref="AY4:AY19" si="4">IF(AND(AV4&gt;0,AX4=0),"Chưa TT",IF(AX4-AV4&gt;0,"Thừa",IF(AND(AV4=0,AX4=0),"Trống",IF(AND(AX4&gt;0,AV4=0),"Đóng cọc",IF(AX4-AV4&lt;0,"Thiếu",IF(AX4-AV4=0,"Đủ",0))))))</f>
        <v>Thiếu</v>
      </c>
      <c r="AZ4" s="290">
        <f t="shared" ref="AZ4:AZ19" si="5">AX4-AV4</f>
        <v>-500</v>
      </c>
      <c r="BA4" s="307"/>
      <c r="BB4" s="293"/>
      <c r="BC4" s="285"/>
      <c r="BD4" s="285"/>
      <c r="BE4" s="285"/>
      <c r="BF4" s="285"/>
      <c r="BG4" s="285"/>
      <c r="BH4" s="285"/>
      <c r="BI4" s="285"/>
      <c r="BJ4" s="285"/>
      <c r="BK4" s="285"/>
      <c r="BL4" s="293"/>
      <c r="BM4" s="285"/>
      <c r="BN4" s="285"/>
      <c r="BO4" s="285"/>
      <c r="BP4" s="285"/>
      <c r="BQ4" s="285"/>
      <c r="BR4" s="285"/>
      <c r="BS4" s="308"/>
      <c r="BT4" s="285"/>
      <c r="BU4" s="308"/>
      <c r="BV4" s="285"/>
      <c r="BW4" s="285"/>
      <c r="BX4" s="285"/>
      <c r="BY4" s="285"/>
      <c r="BZ4" s="285"/>
      <c r="CA4" s="285"/>
      <c r="CB4" s="285"/>
      <c r="CC4" s="285"/>
      <c r="CD4" s="285"/>
      <c r="CE4" s="285"/>
      <c r="CF4" s="285"/>
      <c r="CG4" s="285"/>
    </row>
    <row r="5" spans="1:85" ht="19.5" customHeight="1">
      <c r="A5" s="277" t="s">
        <v>37</v>
      </c>
      <c r="B5" s="277" t="s">
        <v>144</v>
      </c>
      <c r="C5" s="278">
        <v>101</v>
      </c>
      <c r="D5" s="278" t="s">
        <v>238</v>
      </c>
      <c r="E5" s="278">
        <v>1</v>
      </c>
      <c r="F5" s="279">
        <v>3500000</v>
      </c>
      <c r="G5" s="280">
        <v>3600000</v>
      </c>
      <c r="H5" s="279">
        <v>3500000</v>
      </c>
      <c r="I5" s="279">
        <v>3500000</v>
      </c>
      <c r="J5" s="279"/>
      <c r="K5" s="278">
        <v>30</v>
      </c>
      <c r="L5" s="278">
        <v>30</v>
      </c>
      <c r="M5" s="281"/>
      <c r="N5" s="282"/>
      <c r="O5" s="283">
        <v>1</v>
      </c>
      <c r="P5" s="278">
        <v>116</v>
      </c>
      <c r="Q5" s="278">
        <v>196</v>
      </c>
      <c r="R5" s="278">
        <f t="shared" ref="R5:R19" si="6">Q5-P5</f>
        <v>80</v>
      </c>
      <c r="S5" s="282">
        <v>4000</v>
      </c>
      <c r="T5" s="282">
        <f t="shared" si="1"/>
        <v>320000</v>
      </c>
      <c r="U5" s="278"/>
      <c r="V5" s="278"/>
      <c r="W5" s="283">
        <v>1</v>
      </c>
      <c r="X5" s="278">
        <v>120000</v>
      </c>
      <c r="Y5" s="278">
        <f t="shared" ref="Y5:Y19" si="7">W5*X5</f>
        <v>120000</v>
      </c>
      <c r="Z5" s="283"/>
      <c r="AA5" s="278"/>
      <c r="AB5" s="278"/>
      <c r="AC5" s="277">
        <v>1</v>
      </c>
      <c r="AD5" s="278">
        <v>100000</v>
      </c>
      <c r="AE5" s="278">
        <f t="shared" ref="AE5:AE19" si="8">AC5*AD5</f>
        <v>100000</v>
      </c>
      <c r="AF5" s="278">
        <v>1</v>
      </c>
      <c r="AG5" s="278">
        <v>60000</v>
      </c>
      <c r="AH5" s="278">
        <f t="shared" ref="AH5:AH19" si="9">AF5*AG5</f>
        <v>60000</v>
      </c>
      <c r="AI5" s="278"/>
      <c r="AJ5" s="278"/>
      <c r="AK5" s="278"/>
      <c r="AL5" s="283"/>
      <c r="AM5" s="278"/>
      <c r="AN5" s="284"/>
      <c r="AO5" s="278">
        <v>1</v>
      </c>
      <c r="AP5" s="278">
        <v>120000</v>
      </c>
      <c r="AQ5" s="278">
        <f t="shared" ref="AQ5:AQ19" si="10">AO5*AP5</f>
        <v>120000</v>
      </c>
      <c r="AR5" s="285"/>
      <c r="AS5" s="285"/>
      <c r="AT5" s="285">
        <f t="shared" ref="AT5:AT19" si="11">AR5*AS5</f>
        <v>0</v>
      </c>
      <c r="AU5" s="286">
        <f t="shared" si="2"/>
        <v>720000</v>
      </c>
      <c r="AV5" s="287">
        <f t="shared" si="3"/>
        <v>4220000</v>
      </c>
      <c r="AW5" s="278"/>
      <c r="AX5" s="288">
        <v>4220000</v>
      </c>
      <c r="AY5" s="289" t="str">
        <f t="shared" si="4"/>
        <v>Đủ</v>
      </c>
      <c r="AZ5" s="290">
        <f t="shared" si="5"/>
        <v>0</v>
      </c>
      <c r="BA5" s="291"/>
      <c r="BB5" s="282"/>
      <c r="BC5" s="278"/>
      <c r="BD5" s="278"/>
      <c r="BE5" s="278"/>
      <c r="BF5" s="278"/>
      <c r="BG5" s="278"/>
      <c r="BH5" s="278"/>
      <c r="BI5" s="278"/>
      <c r="BJ5" s="278"/>
      <c r="BK5" s="278"/>
      <c r="BL5" s="282"/>
      <c r="BM5" s="278"/>
      <c r="BN5" s="278"/>
      <c r="BO5" s="278"/>
      <c r="BP5" s="278"/>
      <c r="BQ5" s="278"/>
      <c r="BR5" s="278"/>
      <c r="BS5" s="292"/>
      <c r="BT5" s="278"/>
      <c r="BU5" s="292"/>
      <c r="BV5" s="278"/>
      <c r="BW5" s="278"/>
      <c r="BX5" s="278"/>
      <c r="BY5" s="278"/>
      <c r="BZ5" s="278"/>
      <c r="CA5" s="278"/>
      <c r="CB5" s="278"/>
      <c r="CC5" s="278"/>
      <c r="CD5" s="278"/>
      <c r="CE5" s="278"/>
      <c r="CF5" s="278"/>
      <c r="CG5" s="278"/>
    </row>
    <row r="6" spans="1:85" ht="17.25" customHeight="1">
      <c r="A6" s="277" t="s">
        <v>38</v>
      </c>
      <c r="B6" s="277" t="s">
        <v>144</v>
      </c>
      <c r="C6" s="278">
        <v>201</v>
      </c>
      <c r="D6" s="278" t="s">
        <v>238</v>
      </c>
      <c r="E6" s="278">
        <v>1</v>
      </c>
      <c r="F6" s="282">
        <v>4100000</v>
      </c>
      <c r="G6" s="280">
        <v>4200000</v>
      </c>
      <c r="H6" s="282">
        <v>4100000</v>
      </c>
      <c r="I6" s="282">
        <v>4100000</v>
      </c>
      <c r="J6" s="282"/>
      <c r="K6" s="278">
        <v>30</v>
      </c>
      <c r="L6" s="278">
        <v>30</v>
      </c>
      <c r="M6" s="281"/>
      <c r="N6" s="282"/>
      <c r="O6" s="277">
        <v>2</v>
      </c>
      <c r="P6" s="278">
        <v>43</v>
      </c>
      <c r="Q6" s="278">
        <v>130</v>
      </c>
      <c r="R6" s="278">
        <f t="shared" si="6"/>
        <v>87</v>
      </c>
      <c r="S6" s="282">
        <v>4000</v>
      </c>
      <c r="T6" s="282">
        <f t="shared" si="1"/>
        <v>348000</v>
      </c>
      <c r="U6" s="278"/>
      <c r="V6" s="278"/>
      <c r="W6" s="283">
        <v>2</v>
      </c>
      <c r="X6" s="278">
        <v>120000</v>
      </c>
      <c r="Y6" s="278">
        <f t="shared" si="7"/>
        <v>240000</v>
      </c>
      <c r="Z6" s="277"/>
      <c r="AA6" s="278"/>
      <c r="AB6" s="278"/>
      <c r="AC6" s="278">
        <v>1</v>
      </c>
      <c r="AD6" s="278">
        <v>100000</v>
      </c>
      <c r="AE6" s="278">
        <f t="shared" si="8"/>
        <v>100000</v>
      </c>
      <c r="AF6" s="278">
        <v>2</v>
      </c>
      <c r="AG6" s="278">
        <v>60000</v>
      </c>
      <c r="AH6" s="278">
        <f t="shared" si="9"/>
        <v>120000</v>
      </c>
      <c r="AI6" s="278">
        <v>1</v>
      </c>
      <c r="AJ6" s="278">
        <v>150000</v>
      </c>
      <c r="AK6" s="278">
        <f>AI6*AJ6</f>
        <v>150000</v>
      </c>
      <c r="AL6" s="277"/>
      <c r="AM6" s="278"/>
      <c r="AN6" s="284"/>
      <c r="AO6" s="278">
        <v>2</v>
      </c>
      <c r="AP6" s="278">
        <v>120000</v>
      </c>
      <c r="AQ6" s="282">
        <f t="shared" si="10"/>
        <v>240000</v>
      </c>
      <c r="AR6" s="293"/>
      <c r="AS6" s="293"/>
      <c r="AT6" s="285">
        <f t="shared" si="11"/>
        <v>0</v>
      </c>
      <c r="AU6" s="286">
        <f t="shared" si="2"/>
        <v>1198000</v>
      </c>
      <c r="AV6" s="287">
        <f t="shared" si="3"/>
        <v>5298000</v>
      </c>
      <c r="AW6" s="278"/>
      <c r="AX6" s="288">
        <v>5298000</v>
      </c>
      <c r="AY6" s="289" t="str">
        <f t="shared" si="4"/>
        <v>Đủ</v>
      </c>
      <c r="AZ6" s="290">
        <f t="shared" si="5"/>
        <v>0</v>
      </c>
      <c r="BA6" s="291"/>
      <c r="BB6" s="282"/>
      <c r="BC6" s="278"/>
      <c r="BD6" s="278"/>
      <c r="BE6" s="278"/>
      <c r="BF6" s="278"/>
      <c r="BG6" s="278"/>
      <c r="BH6" s="278"/>
      <c r="BI6" s="278"/>
      <c r="BJ6" s="278"/>
      <c r="BK6" s="278"/>
      <c r="BL6" s="282"/>
      <c r="BM6" s="278"/>
      <c r="BN6" s="278"/>
      <c r="BO6" s="278"/>
      <c r="BP6" s="278"/>
      <c r="BQ6" s="278"/>
      <c r="BR6" s="278"/>
      <c r="BS6" s="292"/>
      <c r="BT6" s="278"/>
      <c r="BU6" s="292"/>
      <c r="BV6" s="278"/>
      <c r="BW6" s="278"/>
      <c r="BX6" s="278"/>
      <c r="BY6" s="278"/>
      <c r="BZ6" s="278"/>
      <c r="CA6" s="278">
        <v>1935</v>
      </c>
      <c r="CB6" s="278">
        <v>1967</v>
      </c>
      <c r="CC6" s="278">
        <f>CB6-CA6</f>
        <v>32</v>
      </c>
      <c r="CD6" s="278">
        <v>3800</v>
      </c>
      <c r="CE6" s="278">
        <f>CC6*CD6</f>
        <v>121600</v>
      </c>
      <c r="CF6" s="278"/>
      <c r="CG6" s="278">
        <f>CE6/3</f>
        <v>40533.333333333336</v>
      </c>
    </row>
    <row r="7" spans="1:85" ht="17.25" customHeight="1">
      <c r="A7" s="277" t="s">
        <v>39</v>
      </c>
      <c r="B7" s="277" t="s">
        <v>144</v>
      </c>
      <c r="C7" s="278">
        <v>202</v>
      </c>
      <c r="D7" s="278" t="s">
        <v>238</v>
      </c>
      <c r="E7" s="278">
        <v>1</v>
      </c>
      <c r="F7" s="282">
        <v>3800000</v>
      </c>
      <c r="G7" s="280">
        <v>4000000</v>
      </c>
      <c r="H7" s="282">
        <v>3800000</v>
      </c>
      <c r="I7" s="282">
        <v>3800000</v>
      </c>
      <c r="J7" s="282"/>
      <c r="K7" s="278">
        <v>30</v>
      </c>
      <c r="L7" s="278">
        <v>30</v>
      </c>
      <c r="M7" s="281"/>
      <c r="N7" s="282"/>
      <c r="O7" s="277">
        <v>2</v>
      </c>
      <c r="P7" s="278">
        <v>174</v>
      </c>
      <c r="Q7" s="278">
        <v>373</v>
      </c>
      <c r="R7" s="278">
        <f t="shared" si="6"/>
        <v>199</v>
      </c>
      <c r="S7" s="282">
        <v>4000</v>
      </c>
      <c r="T7" s="282">
        <f t="shared" si="1"/>
        <v>796000</v>
      </c>
      <c r="U7" s="278"/>
      <c r="V7" s="278"/>
      <c r="W7" s="283">
        <v>2</v>
      </c>
      <c r="X7" s="278">
        <v>120000</v>
      </c>
      <c r="Y7" s="278">
        <f t="shared" si="7"/>
        <v>240000</v>
      </c>
      <c r="Z7" s="277"/>
      <c r="AA7" s="278"/>
      <c r="AB7" s="278"/>
      <c r="AC7" s="278">
        <v>1</v>
      </c>
      <c r="AD7" s="278">
        <v>100000</v>
      </c>
      <c r="AE7" s="278">
        <f t="shared" si="8"/>
        <v>100000</v>
      </c>
      <c r="AF7" s="278">
        <v>2</v>
      </c>
      <c r="AG7" s="278">
        <v>60000</v>
      </c>
      <c r="AH7" s="278">
        <f t="shared" si="9"/>
        <v>120000</v>
      </c>
      <c r="AI7" s="278"/>
      <c r="AJ7" s="278"/>
      <c r="AK7" s="278"/>
      <c r="AL7" s="277"/>
      <c r="AM7" s="278"/>
      <c r="AN7" s="284">
        <f>AL7*AM7</f>
        <v>0</v>
      </c>
      <c r="AO7" s="278">
        <v>2</v>
      </c>
      <c r="AP7" s="278">
        <v>120000</v>
      </c>
      <c r="AQ7" s="282">
        <f t="shared" si="10"/>
        <v>240000</v>
      </c>
      <c r="AR7" s="293"/>
      <c r="AS7" s="293"/>
      <c r="AT7" s="285">
        <f t="shared" si="11"/>
        <v>0</v>
      </c>
      <c r="AU7" s="286">
        <f t="shared" si="2"/>
        <v>1496000</v>
      </c>
      <c r="AV7" s="287">
        <f t="shared" si="3"/>
        <v>5296000</v>
      </c>
      <c r="AW7" s="278"/>
      <c r="AX7" s="288">
        <v>5296000</v>
      </c>
      <c r="AY7" s="289" t="str">
        <f t="shared" si="4"/>
        <v>Đủ</v>
      </c>
      <c r="AZ7" s="290">
        <f t="shared" si="5"/>
        <v>0</v>
      </c>
      <c r="BA7" s="291"/>
      <c r="BB7" s="282"/>
      <c r="BC7" s="278"/>
      <c r="BD7" s="278"/>
      <c r="BE7" s="278"/>
      <c r="BF7" s="278"/>
      <c r="BG7" s="278"/>
      <c r="BH7" s="278"/>
      <c r="BI7" s="278"/>
      <c r="BJ7" s="278"/>
      <c r="BK7" s="278"/>
      <c r="BL7" s="282"/>
      <c r="BM7" s="278"/>
      <c r="BN7" s="278"/>
      <c r="BO7" s="278"/>
      <c r="BP7" s="278"/>
      <c r="BQ7" s="278"/>
      <c r="BR7" s="278"/>
      <c r="BS7" s="292"/>
      <c r="BT7" s="278"/>
      <c r="BU7" s="292"/>
      <c r="BV7" s="278"/>
      <c r="BW7" s="278"/>
      <c r="BX7" s="278"/>
      <c r="BY7" s="278"/>
      <c r="BZ7" s="278"/>
      <c r="CA7" s="278">
        <v>1935</v>
      </c>
      <c r="CB7" s="278">
        <v>1967</v>
      </c>
      <c r="CC7" s="278">
        <f>CB7-CA7</f>
        <v>32</v>
      </c>
      <c r="CD7" s="278">
        <v>3800</v>
      </c>
      <c r="CE7" s="278">
        <f>CC7*CD7</f>
        <v>121600</v>
      </c>
      <c r="CF7" s="278"/>
      <c r="CG7" s="278">
        <f>CE7/3</f>
        <v>40533.333333333336</v>
      </c>
    </row>
    <row r="8" spans="1:85" ht="18" customHeight="1">
      <c r="A8" s="277" t="s">
        <v>40</v>
      </c>
      <c r="B8" s="277" t="s">
        <v>144</v>
      </c>
      <c r="C8" s="278">
        <v>203</v>
      </c>
      <c r="D8" s="278" t="s">
        <v>238</v>
      </c>
      <c r="E8" s="278">
        <v>1</v>
      </c>
      <c r="F8" s="282">
        <v>3800000</v>
      </c>
      <c r="G8" s="280">
        <v>4300000</v>
      </c>
      <c r="H8" s="282">
        <v>3800000</v>
      </c>
      <c r="I8" s="282">
        <v>3800000</v>
      </c>
      <c r="J8" s="282"/>
      <c r="K8" s="278">
        <v>30</v>
      </c>
      <c r="L8" s="278">
        <v>30</v>
      </c>
      <c r="M8" s="281"/>
      <c r="N8" s="282"/>
      <c r="O8" s="277">
        <v>1</v>
      </c>
      <c r="P8" s="278">
        <v>30</v>
      </c>
      <c r="Q8" s="278">
        <v>33</v>
      </c>
      <c r="R8" s="278">
        <f t="shared" si="6"/>
        <v>3</v>
      </c>
      <c r="S8" s="282">
        <v>4000</v>
      </c>
      <c r="T8" s="282">
        <f t="shared" si="1"/>
        <v>12000</v>
      </c>
      <c r="U8" s="278"/>
      <c r="V8" s="278"/>
      <c r="W8" s="283">
        <v>1</v>
      </c>
      <c r="X8" s="278">
        <v>120000</v>
      </c>
      <c r="Y8" s="278">
        <f t="shared" si="7"/>
        <v>120000</v>
      </c>
      <c r="Z8" s="277"/>
      <c r="AA8" s="278"/>
      <c r="AB8" s="278"/>
      <c r="AC8" s="278"/>
      <c r="AD8" s="278">
        <v>100000</v>
      </c>
      <c r="AE8" s="278">
        <f t="shared" si="8"/>
        <v>0</v>
      </c>
      <c r="AF8" s="278"/>
      <c r="AG8" s="278">
        <v>60000</v>
      </c>
      <c r="AH8" s="278">
        <f t="shared" si="9"/>
        <v>0</v>
      </c>
      <c r="AI8" s="278"/>
      <c r="AJ8" s="278"/>
      <c r="AK8" s="278"/>
      <c r="AL8" s="277"/>
      <c r="AM8" s="278"/>
      <c r="AN8" s="284"/>
      <c r="AO8" s="278">
        <v>1</v>
      </c>
      <c r="AP8" s="278">
        <v>120000</v>
      </c>
      <c r="AQ8" s="282">
        <f t="shared" si="10"/>
        <v>120000</v>
      </c>
      <c r="AR8" s="293"/>
      <c r="AS8" s="293"/>
      <c r="AT8" s="285">
        <f t="shared" si="11"/>
        <v>0</v>
      </c>
      <c r="AU8" s="286">
        <f t="shared" si="2"/>
        <v>252000</v>
      </c>
      <c r="AV8" s="287">
        <f t="shared" si="3"/>
        <v>4052000</v>
      </c>
      <c r="AW8" s="278"/>
      <c r="AX8" s="288">
        <v>4052000</v>
      </c>
      <c r="AY8" s="289" t="str">
        <f t="shared" si="4"/>
        <v>Đủ</v>
      </c>
      <c r="AZ8" s="290">
        <f t="shared" si="5"/>
        <v>0</v>
      </c>
      <c r="BA8" s="291"/>
      <c r="BB8" s="282"/>
      <c r="BC8" s="278"/>
      <c r="BD8" s="278"/>
      <c r="BE8" s="278"/>
      <c r="BF8" s="278"/>
      <c r="BG8" s="278"/>
      <c r="BH8" s="278"/>
      <c r="BI8" s="278"/>
      <c r="BJ8" s="278"/>
      <c r="BK8" s="278"/>
      <c r="BL8" s="282"/>
      <c r="BM8" s="278"/>
      <c r="BN8" s="278"/>
      <c r="BO8" s="278"/>
      <c r="BP8" s="278"/>
      <c r="BQ8" s="278"/>
      <c r="BR8" s="278"/>
      <c r="BS8" s="292"/>
      <c r="BT8" s="278"/>
      <c r="BU8" s="292"/>
      <c r="BV8" s="278"/>
      <c r="BW8" s="278"/>
      <c r="BX8" s="278"/>
      <c r="BY8" s="278"/>
      <c r="BZ8" s="278"/>
      <c r="CA8" s="278">
        <v>144</v>
      </c>
      <c r="CB8" s="278">
        <v>209</v>
      </c>
      <c r="CC8" s="278">
        <f>CB8-CA8</f>
        <v>65</v>
      </c>
      <c r="CD8" s="278">
        <v>3800</v>
      </c>
      <c r="CE8" s="278">
        <f>CC8*CD8</f>
        <v>247000</v>
      </c>
      <c r="CF8" s="278"/>
      <c r="CG8" s="278">
        <f>CE8/3</f>
        <v>82333.333333333328</v>
      </c>
    </row>
    <row r="9" spans="1:85" ht="17.25" customHeight="1">
      <c r="A9" s="277" t="s">
        <v>41</v>
      </c>
      <c r="B9" s="277" t="s">
        <v>144</v>
      </c>
      <c r="C9" s="278">
        <v>301</v>
      </c>
      <c r="D9" s="278" t="s">
        <v>238</v>
      </c>
      <c r="E9" s="278">
        <v>1</v>
      </c>
      <c r="F9" s="282">
        <v>3900000</v>
      </c>
      <c r="G9" s="280">
        <v>4200000</v>
      </c>
      <c r="H9" s="282">
        <v>3900000</v>
      </c>
      <c r="I9" s="282">
        <v>3900000</v>
      </c>
      <c r="J9" s="282"/>
      <c r="K9" s="278">
        <v>30</v>
      </c>
      <c r="L9" s="278">
        <v>30</v>
      </c>
      <c r="M9" s="281"/>
      <c r="N9" s="282"/>
      <c r="O9" s="277">
        <v>1</v>
      </c>
      <c r="P9" s="278">
        <v>21</v>
      </c>
      <c r="Q9" s="278">
        <v>113</v>
      </c>
      <c r="R9" s="278">
        <f t="shared" si="6"/>
        <v>92</v>
      </c>
      <c r="S9" s="282">
        <v>4000</v>
      </c>
      <c r="T9" s="282">
        <f t="shared" si="1"/>
        <v>368000</v>
      </c>
      <c r="U9" s="278"/>
      <c r="V9" s="278"/>
      <c r="W9" s="283">
        <v>1</v>
      </c>
      <c r="X9" s="278">
        <v>120000</v>
      </c>
      <c r="Y9" s="278">
        <f t="shared" si="7"/>
        <v>120000</v>
      </c>
      <c r="Z9" s="277"/>
      <c r="AA9" s="278"/>
      <c r="AB9" s="278"/>
      <c r="AC9" s="278">
        <v>1</v>
      </c>
      <c r="AD9" s="278">
        <v>100000</v>
      </c>
      <c r="AE9" s="278">
        <f t="shared" si="8"/>
        <v>100000</v>
      </c>
      <c r="AF9" s="278">
        <v>1</v>
      </c>
      <c r="AG9" s="278">
        <v>60000</v>
      </c>
      <c r="AH9" s="278">
        <f t="shared" si="9"/>
        <v>60000</v>
      </c>
      <c r="AI9" s="278">
        <v>1</v>
      </c>
      <c r="AJ9" s="278">
        <v>150000</v>
      </c>
      <c r="AK9" s="278">
        <f>AI9*AJ9</f>
        <v>150000</v>
      </c>
      <c r="AL9" s="277"/>
      <c r="AM9" s="278"/>
      <c r="AN9" s="284"/>
      <c r="AO9" s="278">
        <v>1</v>
      </c>
      <c r="AP9" s="278">
        <v>120000</v>
      </c>
      <c r="AQ9" s="282">
        <f t="shared" si="10"/>
        <v>120000</v>
      </c>
      <c r="AR9" s="293"/>
      <c r="AS9" s="293"/>
      <c r="AT9" s="285">
        <f t="shared" si="11"/>
        <v>0</v>
      </c>
      <c r="AU9" s="286">
        <f t="shared" si="2"/>
        <v>918000</v>
      </c>
      <c r="AV9" s="287">
        <f t="shared" si="3"/>
        <v>4818000</v>
      </c>
      <c r="AW9" s="278"/>
      <c r="AX9" s="288">
        <v>4818000</v>
      </c>
      <c r="AY9" s="289" t="str">
        <f t="shared" si="4"/>
        <v>Đủ</v>
      </c>
      <c r="AZ9" s="290">
        <f t="shared" si="5"/>
        <v>0</v>
      </c>
      <c r="BA9" s="291"/>
      <c r="BB9" s="282"/>
      <c r="BC9" s="278"/>
      <c r="BD9" s="278"/>
      <c r="BE9" s="278"/>
      <c r="BF9" s="278"/>
      <c r="BG9" s="278"/>
      <c r="BH9" s="278"/>
      <c r="BI9" s="278"/>
      <c r="BJ9" s="278"/>
      <c r="BK9" s="278"/>
      <c r="BL9" s="282"/>
      <c r="BM9" s="278"/>
      <c r="BN9" s="278"/>
      <c r="BO9" s="278"/>
      <c r="BP9" s="278"/>
      <c r="BQ9" s="278"/>
      <c r="BR9" s="278"/>
      <c r="BS9" s="292"/>
      <c r="BT9" s="278"/>
      <c r="BU9" s="292"/>
      <c r="BV9" s="278"/>
      <c r="BW9" s="278"/>
      <c r="BX9" s="278"/>
      <c r="BY9" s="278"/>
      <c r="BZ9" s="278"/>
      <c r="CA9" s="278">
        <v>144</v>
      </c>
      <c r="CB9" s="278">
        <v>209</v>
      </c>
      <c r="CC9" s="278">
        <f>CB9-CA9</f>
        <v>65</v>
      </c>
      <c r="CD9" s="278">
        <v>3800</v>
      </c>
      <c r="CE9" s="278">
        <f>CC9*CD9</f>
        <v>247000</v>
      </c>
      <c r="CF9" s="278"/>
      <c r="CG9" s="278">
        <f>CE9/3</f>
        <v>82333.333333333328</v>
      </c>
    </row>
    <row r="10" spans="1:85" ht="15.75" customHeight="1">
      <c r="A10" s="277" t="s">
        <v>42</v>
      </c>
      <c r="B10" s="277" t="s">
        <v>144</v>
      </c>
      <c r="C10" s="278">
        <v>302</v>
      </c>
      <c r="D10" s="278" t="s">
        <v>238</v>
      </c>
      <c r="E10" s="278">
        <v>1</v>
      </c>
      <c r="F10" s="279">
        <v>3800000</v>
      </c>
      <c r="G10" s="280">
        <v>4000000</v>
      </c>
      <c r="H10" s="279">
        <v>3800000</v>
      </c>
      <c r="I10" s="279">
        <v>3800000</v>
      </c>
      <c r="J10" s="294"/>
      <c r="K10" s="278">
        <v>30</v>
      </c>
      <c r="L10" s="278">
        <v>30</v>
      </c>
      <c r="M10" s="281"/>
      <c r="N10" s="282"/>
      <c r="O10" s="277">
        <v>2</v>
      </c>
      <c r="P10" s="278">
        <v>101</v>
      </c>
      <c r="Q10" s="278">
        <v>150</v>
      </c>
      <c r="R10" s="278">
        <f t="shared" si="6"/>
        <v>49</v>
      </c>
      <c r="S10" s="282">
        <v>4000</v>
      </c>
      <c r="T10" s="282">
        <f t="shared" si="1"/>
        <v>196000</v>
      </c>
      <c r="U10" s="278"/>
      <c r="V10" s="278"/>
      <c r="W10" s="283">
        <v>2</v>
      </c>
      <c r="X10" s="278">
        <v>120000</v>
      </c>
      <c r="Y10" s="278">
        <f t="shared" si="7"/>
        <v>240000</v>
      </c>
      <c r="Z10" s="277"/>
      <c r="AA10" s="278"/>
      <c r="AB10" s="278"/>
      <c r="AC10" s="278">
        <v>1</v>
      </c>
      <c r="AD10" s="278">
        <v>100000</v>
      </c>
      <c r="AE10" s="278">
        <f t="shared" si="8"/>
        <v>100000</v>
      </c>
      <c r="AF10" s="278">
        <v>2</v>
      </c>
      <c r="AG10" s="278">
        <v>60000</v>
      </c>
      <c r="AH10" s="278">
        <f t="shared" si="9"/>
        <v>120000</v>
      </c>
      <c r="AI10" s="278"/>
      <c r="AJ10" s="278"/>
      <c r="AK10" s="278"/>
      <c r="AL10" s="277"/>
      <c r="AM10" s="278"/>
      <c r="AN10" s="284"/>
      <c r="AO10" s="278">
        <v>2</v>
      </c>
      <c r="AP10" s="278">
        <v>120000</v>
      </c>
      <c r="AQ10" s="282">
        <f t="shared" si="10"/>
        <v>240000</v>
      </c>
      <c r="AR10" s="293"/>
      <c r="AS10" s="293"/>
      <c r="AT10" s="285">
        <f t="shared" si="11"/>
        <v>0</v>
      </c>
      <c r="AU10" s="286">
        <f t="shared" si="2"/>
        <v>896000</v>
      </c>
      <c r="AV10" s="287">
        <f t="shared" si="3"/>
        <v>4696000</v>
      </c>
      <c r="AW10" s="278" t="s">
        <v>266</v>
      </c>
      <c r="AX10" s="288">
        <f>196000+6200000</f>
        <v>6396000</v>
      </c>
      <c r="AY10" s="289" t="str">
        <f t="shared" si="4"/>
        <v>Thừa</v>
      </c>
      <c r="AZ10" s="290">
        <f t="shared" si="5"/>
        <v>1700000</v>
      </c>
      <c r="BA10" s="291"/>
      <c r="BB10" s="282"/>
      <c r="BC10" s="278"/>
      <c r="BD10" s="278"/>
      <c r="BE10" s="278"/>
      <c r="BF10" s="278"/>
      <c r="BG10" s="278"/>
      <c r="BH10" s="278"/>
      <c r="BI10" s="278"/>
      <c r="BJ10" s="278"/>
      <c r="BK10" s="278"/>
      <c r="BL10" s="282"/>
      <c r="BM10" s="278"/>
      <c r="BN10" s="278"/>
      <c r="BO10" s="278"/>
      <c r="BP10" s="278"/>
      <c r="BQ10" s="278"/>
      <c r="BR10" s="278"/>
      <c r="BS10" s="292"/>
      <c r="BT10" s="278"/>
      <c r="BU10" s="292"/>
      <c r="BV10" s="278"/>
      <c r="BW10" s="278"/>
      <c r="BX10" s="278"/>
      <c r="BY10" s="278"/>
      <c r="BZ10" s="278"/>
      <c r="CA10" s="278">
        <v>144</v>
      </c>
      <c r="CB10" s="278">
        <v>209</v>
      </c>
      <c r="CC10" s="278">
        <f>CB10-CA10</f>
        <v>65</v>
      </c>
      <c r="CD10" s="278">
        <v>3800</v>
      </c>
      <c r="CE10" s="278">
        <f>CC10*CD10</f>
        <v>247000</v>
      </c>
      <c r="CF10" s="278"/>
      <c r="CG10" s="278">
        <f>CE10/3</f>
        <v>82333.333333333328</v>
      </c>
    </row>
    <row r="11" spans="1:85" ht="19.5" customHeight="1">
      <c r="A11" s="277" t="s">
        <v>43</v>
      </c>
      <c r="B11" s="277" t="s">
        <v>144</v>
      </c>
      <c r="C11" s="278">
        <v>303</v>
      </c>
      <c r="D11" s="278" t="s">
        <v>238</v>
      </c>
      <c r="E11" s="278">
        <v>1</v>
      </c>
      <c r="F11" s="279">
        <v>4000000</v>
      </c>
      <c r="G11" s="280">
        <v>4300000</v>
      </c>
      <c r="H11" s="279">
        <v>4000000</v>
      </c>
      <c r="I11" s="279">
        <v>4000000</v>
      </c>
      <c r="J11" s="294"/>
      <c r="K11" s="278">
        <v>30</v>
      </c>
      <c r="L11" s="278">
        <v>30</v>
      </c>
      <c r="M11" s="281"/>
      <c r="N11" s="282"/>
      <c r="O11" s="283">
        <v>3</v>
      </c>
      <c r="P11" s="278">
        <v>294</v>
      </c>
      <c r="Q11" s="278">
        <v>452</v>
      </c>
      <c r="R11" s="278">
        <f t="shared" si="6"/>
        <v>158</v>
      </c>
      <c r="S11" s="282">
        <v>4000</v>
      </c>
      <c r="T11" s="282">
        <f t="shared" si="1"/>
        <v>632000</v>
      </c>
      <c r="U11" s="278"/>
      <c r="V11" s="278"/>
      <c r="W11" s="283">
        <v>3</v>
      </c>
      <c r="X11" s="278">
        <v>120000</v>
      </c>
      <c r="Y11" s="278">
        <f t="shared" si="7"/>
        <v>360000</v>
      </c>
      <c r="Z11" s="283"/>
      <c r="AA11" s="278"/>
      <c r="AB11" s="278">
        <f>Z11*AA11</f>
        <v>0</v>
      </c>
      <c r="AC11" s="277"/>
      <c r="AD11" s="278">
        <v>100000</v>
      </c>
      <c r="AE11" s="278">
        <f t="shared" si="8"/>
        <v>0</v>
      </c>
      <c r="AF11" s="278">
        <v>3</v>
      </c>
      <c r="AG11" s="278">
        <v>60000</v>
      </c>
      <c r="AH11" s="278">
        <f t="shared" si="9"/>
        <v>180000</v>
      </c>
      <c r="AI11" s="278"/>
      <c r="AJ11" s="278"/>
      <c r="AK11" s="278"/>
      <c r="AL11" s="283"/>
      <c r="AM11" s="278"/>
      <c r="AN11" s="284"/>
      <c r="AO11" s="278">
        <v>3</v>
      </c>
      <c r="AP11" s="278">
        <v>120000</v>
      </c>
      <c r="AQ11" s="278">
        <f t="shared" si="10"/>
        <v>360000</v>
      </c>
      <c r="AR11" s="285"/>
      <c r="AS11" s="285"/>
      <c r="AT11" s="285">
        <f t="shared" si="11"/>
        <v>0</v>
      </c>
      <c r="AU11" s="286">
        <f t="shared" si="2"/>
        <v>1532000</v>
      </c>
      <c r="AV11" s="287">
        <f t="shared" si="3"/>
        <v>5532000</v>
      </c>
      <c r="AW11" s="278"/>
      <c r="AX11" s="288">
        <v>5532000</v>
      </c>
      <c r="AY11" s="289" t="str">
        <f t="shared" si="4"/>
        <v>Đủ</v>
      </c>
      <c r="AZ11" s="290">
        <f t="shared" si="5"/>
        <v>0</v>
      </c>
      <c r="BA11" s="291"/>
      <c r="BB11" s="282"/>
      <c r="BC11" s="278"/>
      <c r="BD11" s="278"/>
      <c r="BE11" s="278"/>
      <c r="BF11" s="278"/>
      <c r="BG11" s="278"/>
      <c r="BH11" s="278"/>
      <c r="BI11" s="278"/>
      <c r="BJ11" s="278"/>
      <c r="BK11" s="278"/>
      <c r="BL11" s="282"/>
      <c r="BM11" s="278"/>
      <c r="BN11" s="278"/>
      <c r="BO11" s="278"/>
      <c r="BP11" s="278"/>
      <c r="BQ11" s="278"/>
      <c r="BR11" s="278"/>
      <c r="BS11" s="292"/>
      <c r="BT11" s="278"/>
      <c r="BU11" s="292"/>
      <c r="BV11" s="278"/>
      <c r="BW11" s="278"/>
      <c r="BX11" s="278"/>
      <c r="BY11" s="278"/>
      <c r="BZ11" s="278"/>
      <c r="CA11" s="278"/>
      <c r="CB11" s="278"/>
      <c r="CC11" s="278"/>
      <c r="CD11" s="278"/>
      <c r="CE11" s="278"/>
      <c r="CF11" s="278"/>
      <c r="CG11" s="278"/>
    </row>
    <row r="12" spans="1:85" ht="21.75" customHeight="1">
      <c r="A12" s="277" t="s">
        <v>44</v>
      </c>
      <c r="B12" s="277" t="s">
        <v>144</v>
      </c>
      <c r="C12" s="278">
        <v>304</v>
      </c>
      <c r="D12" s="278" t="s">
        <v>238</v>
      </c>
      <c r="E12" s="278">
        <v>1</v>
      </c>
      <c r="F12" s="279">
        <v>4100000</v>
      </c>
      <c r="G12" s="280">
        <v>4400000</v>
      </c>
      <c r="H12" s="279">
        <v>4100000</v>
      </c>
      <c r="I12" s="279">
        <v>4100000</v>
      </c>
      <c r="J12" s="294"/>
      <c r="K12" s="295">
        <v>30</v>
      </c>
      <c r="L12" s="278">
        <v>30</v>
      </c>
      <c r="M12" s="281"/>
      <c r="N12" s="282"/>
      <c r="O12" s="296">
        <v>2</v>
      </c>
      <c r="P12" s="278">
        <v>110</v>
      </c>
      <c r="Q12" s="278">
        <v>184</v>
      </c>
      <c r="R12" s="278">
        <f t="shared" si="6"/>
        <v>74</v>
      </c>
      <c r="S12" s="282">
        <v>4000</v>
      </c>
      <c r="T12" s="282">
        <f t="shared" si="1"/>
        <v>296000</v>
      </c>
      <c r="U12" s="278"/>
      <c r="V12" s="278"/>
      <c r="W12" s="283">
        <v>2</v>
      </c>
      <c r="X12" s="278">
        <v>120000</v>
      </c>
      <c r="Y12" s="278">
        <f t="shared" si="7"/>
        <v>240000</v>
      </c>
      <c r="Z12" s="296"/>
      <c r="AA12" s="278"/>
      <c r="AB12" s="278">
        <f>Z12*AA12</f>
        <v>0</v>
      </c>
      <c r="AC12" s="277">
        <v>1</v>
      </c>
      <c r="AD12" s="278">
        <v>100000</v>
      </c>
      <c r="AE12" s="278">
        <f t="shared" si="8"/>
        <v>100000</v>
      </c>
      <c r="AF12" s="278">
        <v>2</v>
      </c>
      <c r="AG12" s="278">
        <v>60000</v>
      </c>
      <c r="AH12" s="278">
        <f t="shared" si="9"/>
        <v>120000</v>
      </c>
      <c r="AI12" s="278"/>
      <c r="AJ12" s="278"/>
      <c r="AK12" s="278"/>
      <c r="AL12" s="296"/>
      <c r="AM12" s="278"/>
      <c r="AN12" s="284"/>
      <c r="AO12" s="278">
        <v>2</v>
      </c>
      <c r="AP12" s="278">
        <v>120000</v>
      </c>
      <c r="AQ12" s="278">
        <f t="shared" si="10"/>
        <v>240000</v>
      </c>
      <c r="AR12" s="285"/>
      <c r="AS12" s="285"/>
      <c r="AT12" s="285">
        <f t="shared" si="11"/>
        <v>0</v>
      </c>
      <c r="AU12" s="286">
        <f t="shared" si="2"/>
        <v>996000</v>
      </c>
      <c r="AV12" s="287">
        <f t="shared" si="3"/>
        <v>5096000</v>
      </c>
      <c r="AW12" s="278"/>
      <c r="AX12" s="288">
        <v>5096000</v>
      </c>
      <c r="AY12" s="289" t="str">
        <f t="shared" si="4"/>
        <v>Đủ</v>
      </c>
      <c r="AZ12" s="290">
        <f t="shared" si="5"/>
        <v>0</v>
      </c>
      <c r="BA12" s="291"/>
      <c r="BB12" s="282"/>
      <c r="BC12" s="278"/>
      <c r="BD12" s="278"/>
      <c r="BE12" s="278"/>
      <c r="BF12" s="278"/>
      <c r="BG12" s="278"/>
      <c r="BH12" s="278"/>
      <c r="BI12" s="278"/>
      <c r="BJ12" s="278"/>
      <c r="BK12" s="278"/>
      <c r="BL12" s="282"/>
      <c r="BM12" s="278"/>
      <c r="BN12" s="278"/>
      <c r="BO12" s="278"/>
      <c r="BP12" s="278"/>
      <c r="BQ12" s="278"/>
      <c r="BR12" s="278"/>
      <c r="BS12" s="292"/>
      <c r="BT12" s="278"/>
      <c r="BU12" s="292"/>
      <c r="BV12" s="278"/>
      <c r="BW12" s="278"/>
      <c r="BX12" s="278"/>
      <c r="BY12" s="278"/>
      <c r="BZ12" s="278"/>
      <c r="CA12" s="278"/>
      <c r="CB12" s="278"/>
      <c r="CC12" s="278"/>
      <c r="CD12" s="278"/>
      <c r="CE12" s="278"/>
      <c r="CF12" s="278"/>
      <c r="CG12" s="278"/>
    </row>
    <row r="13" spans="1:85" ht="21.75" customHeight="1">
      <c r="A13" s="277" t="s">
        <v>45</v>
      </c>
      <c r="B13" s="277" t="s">
        <v>144</v>
      </c>
      <c r="C13" s="278">
        <v>401</v>
      </c>
      <c r="D13" s="278" t="s">
        <v>238</v>
      </c>
      <c r="E13" s="278">
        <v>1</v>
      </c>
      <c r="F13" s="280">
        <v>4100000</v>
      </c>
      <c r="G13" s="280">
        <f>4200000+200000</f>
        <v>4400000</v>
      </c>
      <c r="H13" s="280">
        <v>4100000</v>
      </c>
      <c r="I13" s="280">
        <v>4100000</v>
      </c>
      <c r="J13" s="295"/>
      <c r="K13" s="295">
        <v>30</v>
      </c>
      <c r="L13" s="278">
        <v>30</v>
      </c>
      <c r="M13" s="281"/>
      <c r="N13" s="295"/>
      <c r="O13" s="296">
        <v>2</v>
      </c>
      <c r="P13" s="278">
        <v>125</v>
      </c>
      <c r="Q13" s="278">
        <v>334</v>
      </c>
      <c r="R13" s="278">
        <f t="shared" si="6"/>
        <v>209</v>
      </c>
      <c r="S13" s="282">
        <v>4000</v>
      </c>
      <c r="T13" s="282">
        <f t="shared" si="1"/>
        <v>836000</v>
      </c>
      <c r="U13" s="278"/>
      <c r="V13" s="278"/>
      <c r="W13" s="283">
        <v>2</v>
      </c>
      <c r="X13" s="278">
        <v>120000</v>
      </c>
      <c r="Y13" s="278">
        <f t="shared" si="7"/>
        <v>240000</v>
      </c>
      <c r="Z13" s="296"/>
      <c r="AA13" s="278"/>
      <c r="AB13" s="278"/>
      <c r="AC13" s="277">
        <v>1</v>
      </c>
      <c r="AD13" s="278">
        <v>100000</v>
      </c>
      <c r="AE13" s="278">
        <f t="shared" si="8"/>
        <v>100000</v>
      </c>
      <c r="AF13" s="278">
        <v>2</v>
      </c>
      <c r="AG13" s="278">
        <v>60000</v>
      </c>
      <c r="AH13" s="278">
        <f t="shared" si="9"/>
        <v>120000</v>
      </c>
      <c r="AI13" s="278"/>
      <c r="AJ13" s="278"/>
      <c r="AK13" s="278"/>
      <c r="AL13" s="296"/>
      <c r="AM13" s="278"/>
      <c r="AN13" s="284"/>
      <c r="AO13" s="278">
        <v>2</v>
      </c>
      <c r="AP13" s="278">
        <v>120000</v>
      </c>
      <c r="AQ13" s="278">
        <f t="shared" si="10"/>
        <v>240000</v>
      </c>
      <c r="AR13" s="285"/>
      <c r="AS13" s="285"/>
      <c r="AT13" s="285">
        <f t="shared" si="11"/>
        <v>0</v>
      </c>
      <c r="AU13" s="286">
        <f t="shared" si="2"/>
        <v>1536000</v>
      </c>
      <c r="AV13" s="287">
        <f t="shared" si="3"/>
        <v>5636000</v>
      </c>
      <c r="AW13" s="278" t="s">
        <v>265</v>
      </c>
      <c r="AX13" s="288">
        <v>5600000</v>
      </c>
      <c r="AY13" s="289" t="str">
        <f t="shared" si="4"/>
        <v>Thiếu</v>
      </c>
      <c r="AZ13" s="290">
        <f t="shared" si="5"/>
        <v>-36000</v>
      </c>
      <c r="BA13" s="291"/>
      <c r="BB13" s="282"/>
      <c r="BC13" s="278"/>
      <c r="BD13" s="278"/>
      <c r="BE13" s="278"/>
      <c r="BF13" s="278"/>
      <c r="BG13" s="278"/>
      <c r="BH13" s="278"/>
      <c r="BI13" s="278"/>
      <c r="BJ13" s="278"/>
      <c r="BK13" s="278"/>
      <c r="BL13" s="282"/>
      <c r="BM13" s="278"/>
      <c r="BN13" s="278"/>
      <c r="BO13" s="278"/>
      <c r="BP13" s="278"/>
      <c r="BQ13" s="278"/>
      <c r="BR13" s="278"/>
      <c r="BS13" s="292"/>
      <c r="BT13" s="278"/>
      <c r="BU13" s="292"/>
      <c r="BV13" s="278"/>
      <c r="BW13" s="278"/>
      <c r="BX13" s="278"/>
      <c r="BY13" s="278"/>
      <c r="BZ13" s="278"/>
      <c r="CA13" s="278"/>
      <c r="CB13" s="278"/>
      <c r="CC13" s="278"/>
      <c r="CD13" s="278"/>
      <c r="CE13" s="278"/>
      <c r="CF13" s="278"/>
      <c r="CG13" s="278"/>
    </row>
    <row r="14" spans="1:85" ht="21.75" customHeight="1">
      <c r="A14" s="277" t="s">
        <v>46</v>
      </c>
      <c r="B14" s="277" t="s">
        <v>144</v>
      </c>
      <c r="C14" s="278">
        <v>402</v>
      </c>
      <c r="D14" s="278" t="s">
        <v>238</v>
      </c>
      <c r="E14" s="278">
        <v>1</v>
      </c>
      <c r="F14" s="280">
        <v>3900000</v>
      </c>
      <c r="G14" s="280">
        <v>4000000</v>
      </c>
      <c r="H14" s="280">
        <v>3900000</v>
      </c>
      <c r="I14" s="280">
        <v>3900000</v>
      </c>
      <c r="J14" s="295"/>
      <c r="K14" s="278">
        <v>30</v>
      </c>
      <c r="L14" s="278">
        <v>30</v>
      </c>
      <c r="M14" s="281"/>
      <c r="N14" s="282"/>
      <c r="O14" s="296">
        <v>2</v>
      </c>
      <c r="P14" s="278">
        <v>161</v>
      </c>
      <c r="Q14" s="278">
        <v>282</v>
      </c>
      <c r="R14" s="278">
        <f t="shared" si="6"/>
        <v>121</v>
      </c>
      <c r="S14" s="282">
        <v>4000</v>
      </c>
      <c r="T14" s="282">
        <f t="shared" si="1"/>
        <v>484000</v>
      </c>
      <c r="U14" s="278"/>
      <c r="V14" s="278"/>
      <c r="W14" s="283">
        <v>2</v>
      </c>
      <c r="X14" s="278">
        <v>120000</v>
      </c>
      <c r="Y14" s="278">
        <f t="shared" si="7"/>
        <v>240000</v>
      </c>
      <c r="Z14" s="296"/>
      <c r="AA14" s="278"/>
      <c r="AB14" s="278"/>
      <c r="AC14" s="277">
        <v>1</v>
      </c>
      <c r="AD14" s="278">
        <v>100000</v>
      </c>
      <c r="AE14" s="278">
        <f t="shared" si="8"/>
        <v>100000</v>
      </c>
      <c r="AF14" s="278">
        <v>2</v>
      </c>
      <c r="AG14" s="278">
        <v>60000</v>
      </c>
      <c r="AH14" s="278">
        <f t="shared" si="9"/>
        <v>120000</v>
      </c>
      <c r="AI14" s="278">
        <v>1</v>
      </c>
      <c r="AJ14" s="278">
        <v>400000</v>
      </c>
      <c r="AK14" s="278">
        <f>AI14*AJ14</f>
        <v>400000</v>
      </c>
      <c r="AL14" s="296"/>
      <c r="AM14" s="278"/>
      <c r="AN14" s="284"/>
      <c r="AO14" s="278">
        <v>2</v>
      </c>
      <c r="AP14" s="278">
        <v>120000</v>
      </c>
      <c r="AQ14" s="278">
        <f t="shared" si="10"/>
        <v>240000</v>
      </c>
      <c r="AR14" s="285"/>
      <c r="AS14" s="285"/>
      <c r="AT14" s="285">
        <f t="shared" si="11"/>
        <v>0</v>
      </c>
      <c r="AU14" s="286">
        <f t="shared" si="2"/>
        <v>1584000</v>
      </c>
      <c r="AV14" s="287">
        <f t="shared" si="3"/>
        <v>5484000</v>
      </c>
      <c r="AW14" s="278"/>
      <c r="AX14" s="288">
        <f>4484000+1000000</f>
        <v>5484000</v>
      </c>
      <c r="AY14" s="289" t="str">
        <f t="shared" si="4"/>
        <v>Đủ</v>
      </c>
      <c r="AZ14" s="290">
        <f t="shared" si="5"/>
        <v>0</v>
      </c>
      <c r="BA14" s="291"/>
      <c r="BB14" s="282"/>
      <c r="BC14" s="278"/>
      <c r="BD14" s="278"/>
      <c r="BE14" s="278"/>
      <c r="BF14" s="278"/>
      <c r="BG14" s="278"/>
      <c r="BH14" s="278"/>
      <c r="BI14" s="278"/>
      <c r="BJ14" s="278"/>
      <c r="BK14" s="278"/>
      <c r="BL14" s="282"/>
      <c r="BM14" s="278"/>
      <c r="BN14" s="278"/>
      <c r="BO14" s="278"/>
      <c r="BP14" s="278"/>
      <c r="BQ14" s="278"/>
      <c r="BR14" s="278"/>
      <c r="BS14" s="292"/>
      <c r="BT14" s="278"/>
      <c r="BU14" s="292"/>
      <c r="BV14" s="278"/>
      <c r="BW14" s="278"/>
      <c r="BX14" s="278"/>
      <c r="BY14" s="278"/>
      <c r="BZ14" s="278"/>
      <c r="CA14" s="278"/>
      <c r="CB14" s="278"/>
      <c r="CC14" s="278"/>
      <c r="CD14" s="278"/>
      <c r="CE14" s="278"/>
      <c r="CF14" s="278"/>
      <c r="CG14" s="278"/>
    </row>
    <row r="15" spans="1:85" ht="20.25" customHeight="1">
      <c r="A15" s="277" t="s">
        <v>47</v>
      </c>
      <c r="B15" s="277" t="s">
        <v>144</v>
      </c>
      <c r="C15" s="278">
        <v>403</v>
      </c>
      <c r="D15" s="278" t="s">
        <v>238</v>
      </c>
      <c r="E15" s="278">
        <v>1</v>
      </c>
      <c r="F15" s="280">
        <v>4200000</v>
      </c>
      <c r="G15" s="280">
        <f>4300000+200000</f>
        <v>4500000</v>
      </c>
      <c r="H15" s="280">
        <v>4200000</v>
      </c>
      <c r="I15" s="280">
        <v>4200000</v>
      </c>
      <c r="J15" s="295"/>
      <c r="K15" s="278">
        <v>30</v>
      </c>
      <c r="L15" s="278">
        <v>30</v>
      </c>
      <c r="M15" s="281"/>
      <c r="N15" s="282"/>
      <c r="O15" s="296">
        <v>2</v>
      </c>
      <c r="P15" s="278">
        <v>86</v>
      </c>
      <c r="Q15" s="278">
        <v>230</v>
      </c>
      <c r="R15" s="278">
        <f t="shared" si="6"/>
        <v>144</v>
      </c>
      <c r="S15" s="282">
        <v>4000</v>
      </c>
      <c r="T15" s="282">
        <f t="shared" si="1"/>
        <v>576000</v>
      </c>
      <c r="U15" s="278"/>
      <c r="V15" s="278"/>
      <c r="W15" s="283">
        <v>2</v>
      </c>
      <c r="X15" s="278">
        <v>120000</v>
      </c>
      <c r="Y15" s="278">
        <f t="shared" si="7"/>
        <v>240000</v>
      </c>
      <c r="Z15" s="296"/>
      <c r="AA15" s="278"/>
      <c r="AB15" s="278"/>
      <c r="AC15" s="277"/>
      <c r="AD15" s="278">
        <v>100000</v>
      </c>
      <c r="AE15" s="278">
        <f t="shared" si="8"/>
        <v>0</v>
      </c>
      <c r="AF15" s="278">
        <v>2</v>
      </c>
      <c r="AG15" s="278">
        <v>60000</v>
      </c>
      <c r="AH15" s="278">
        <f t="shared" si="9"/>
        <v>120000</v>
      </c>
      <c r="AI15" s="278"/>
      <c r="AJ15" s="278"/>
      <c r="AK15" s="278"/>
      <c r="AL15" s="296"/>
      <c r="AM15" s="278"/>
      <c r="AN15" s="284"/>
      <c r="AO15" s="278">
        <v>2</v>
      </c>
      <c r="AP15" s="278">
        <v>120000</v>
      </c>
      <c r="AQ15" s="278">
        <f t="shared" si="10"/>
        <v>240000</v>
      </c>
      <c r="AR15" s="285"/>
      <c r="AS15" s="285"/>
      <c r="AT15" s="285">
        <f t="shared" si="11"/>
        <v>0</v>
      </c>
      <c r="AU15" s="286">
        <f t="shared" si="2"/>
        <v>1176000</v>
      </c>
      <c r="AV15" s="287">
        <f t="shared" si="3"/>
        <v>5376000</v>
      </c>
      <c r="AW15" s="278"/>
      <c r="AX15" s="288">
        <v>5376000</v>
      </c>
      <c r="AY15" s="289" t="str">
        <f t="shared" si="4"/>
        <v>Đủ</v>
      </c>
      <c r="AZ15" s="290">
        <f t="shared" si="5"/>
        <v>0</v>
      </c>
      <c r="BA15" s="291"/>
      <c r="BB15" s="282"/>
      <c r="BC15" s="278"/>
      <c r="BD15" s="278"/>
      <c r="BE15" s="278"/>
      <c r="BF15" s="278"/>
      <c r="BG15" s="278"/>
      <c r="BH15" s="278"/>
      <c r="BI15" s="278"/>
      <c r="BJ15" s="278"/>
      <c r="BK15" s="278"/>
      <c r="BL15" s="282"/>
      <c r="BM15" s="278"/>
      <c r="BN15" s="278"/>
      <c r="BO15" s="278"/>
      <c r="BP15" s="278"/>
      <c r="BQ15" s="278"/>
      <c r="BR15" s="278"/>
      <c r="BS15" s="292"/>
      <c r="BT15" s="278"/>
      <c r="BU15" s="292"/>
      <c r="BV15" s="278"/>
      <c r="BW15" s="278"/>
      <c r="BX15" s="278"/>
      <c r="BY15" s="278"/>
      <c r="BZ15" s="278"/>
      <c r="CA15" s="278"/>
      <c r="CB15" s="278"/>
      <c r="CC15" s="278"/>
      <c r="CD15" s="278"/>
      <c r="CE15" s="278"/>
      <c r="CF15" s="278"/>
      <c r="CG15" s="278"/>
    </row>
    <row r="16" spans="1:85" ht="21.75" customHeight="1">
      <c r="A16" s="277" t="s">
        <v>48</v>
      </c>
      <c r="B16" s="277" t="s">
        <v>144</v>
      </c>
      <c r="C16" s="278">
        <v>404</v>
      </c>
      <c r="D16" s="278" t="s">
        <v>238</v>
      </c>
      <c r="E16" s="278">
        <v>1</v>
      </c>
      <c r="F16" s="297">
        <v>4000000</v>
      </c>
      <c r="G16" s="280">
        <v>4400000</v>
      </c>
      <c r="H16" s="297">
        <v>4000000</v>
      </c>
      <c r="I16" s="297">
        <v>4000000</v>
      </c>
      <c r="J16" s="298"/>
      <c r="K16" s="278">
        <v>30</v>
      </c>
      <c r="L16" s="278">
        <v>30</v>
      </c>
      <c r="M16" s="281"/>
      <c r="N16" s="282"/>
      <c r="O16" s="296">
        <v>1</v>
      </c>
      <c r="P16" s="278">
        <v>122</v>
      </c>
      <c r="Q16" s="278">
        <v>215</v>
      </c>
      <c r="R16" s="278">
        <f t="shared" si="6"/>
        <v>93</v>
      </c>
      <c r="S16" s="282">
        <v>4000</v>
      </c>
      <c r="T16" s="282">
        <f t="shared" si="1"/>
        <v>372000</v>
      </c>
      <c r="U16" s="278"/>
      <c r="V16" s="278"/>
      <c r="W16" s="283">
        <v>1</v>
      </c>
      <c r="X16" s="278">
        <v>120000</v>
      </c>
      <c r="Y16" s="278">
        <f t="shared" si="7"/>
        <v>120000</v>
      </c>
      <c r="Z16" s="296"/>
      <c r="AA16" s="278"/>
      <c r="AB16" s="278"/>
      <c r="AC16" s="277"/>
      <c r="AD16" s="278">
        <v>100000</v>
      </c>
      <c r="AE16" s="278">
        <f t="shared" si="8"/>
        <v>0</v>
      </c>
      <c r="AF16" s="278">
        <v>1</v>
      </c>
      <c r="AG16" s="278">
        <v>60000</v>
      </c>
      <c r="AH16" s="278">
        <f t="shared" si="9"/>
        <v>60000</v>
      </c>
      <c r="AI16" s="278"/>
      <c r="AJ16" s="278"/>
      <c r="AK16" s="278"/>
      <c r="AL16" s="296"/>
      <c r="AM16" s="278"/>
      <c r="AN16" s="284"/>
      <c r="AO16" s="278">
        <v>1</v>
      </c>
      <c r="AP16" s="278">
        <v>120000</v>
      </c>
      <c r="AQ16" s="278">
        <f t="shared" si="10"/>
        <v>120000</v>
      </c>
      <c r="AR16" s="285"/>
      <c r="AS16" s="285"/>
      <c r="AT16" s="285">
        <f t="shared" si="11"/>
        <v>0</v>
      </c>
      <c r="AU16" s="286">
        <f t="shared" si="2"/>
        <v>672000</v>
      </c>
      <c r="AV16" s="287">
        <f t="shared" si="3"/>
        <v>4672000</v>
      </c>
      <c r="AW16" s="278"/>
      <c r="AX16" s="288">
        <v>4672000</v>
      </c>
      <c r="AY16" s="289" t="str">
        <f t="shared" si="4"/>
        <v>Đủ</v>
      </c>
      <c r="AZ16" s="290">
        <f t="shared" si="5"/>
        <v>0</v>
      </c>
      <c r="BA16" s="291"/>
      <c r="BB16" s="282"/>
      <c r="BC16" s="278"/>
      <c r="BD16" s="278"/>
      <c r="BE16" s="278"/>
      <c r="BF16" s="278"/>
      <c r="BG16" s="278"/>
      <c r="BH16" s="278"/>
      <c r="BI16" s="278"/>
      <c r="BJ16" s="278"/>
      <c r="BK16" s="278"/>
      <c r="BL16" s="282"/>
      <c r="BM16" s="278"/>
      <c r="BN16" s="278"/>
      <c r="BO16" s="278"/>
      <c r="BP16" s="278"/>
      <c r="BQ16" s="278"/>
      <c r="BR16" s="278"/>
      <c r="BS16" s="292"/>
      <c r="BT16" s="278"/>
      <c r="BU16" s="292"/>
      <c r="BV16" s="278"/>
      <c r="BW16" s="278"/>
      <c r="BX16" s="278"/>
      <c r="BY16" s="278"/>
      <c r="BZ16" s="278"/>
      <c r="CA16" s="278"/>
      <c r="CB16" s="278"/>
      <c r="CC16" s="278"/>
      <c r="CD16" s="278"/>
      <c r="CE16" s="278"/>
      <c r="CF16" s="278"/>
      <c r="CG16" s="278"/>
    </row>
    <row r="17" spans="1:85" ht="20.25" customHeight="1">
      <c r="A17" s="277" t="s">
        <v>49</v>
      </c>
      <c r="B17" s="277" t="s">
        <v>144</v>
      </c>
      <c r="C17" s="278">
        <v>601</v>
      </c>
      <c r="D17" s="278" t="s">
        <v>238</v>
      </c>
      <c r="E17" s="278">
        <v>1</v>
      </c>
      <c r="F17" s="297">
        <v>3800000</v>
      </c>
      <c r="G17" s="280">
        <v>4100000</v>
      </c>
      <c r="H17" s="297">
        <v>3800000</v>
      </c>
      <c r="I17" s="297">
        <v>3800000</v>
      </c>
      <c r="J17" s="298"/>
      <c r="K17" s="278">
        <v>30</v>
      </c>
      <c r="L17" s="278">
        <v>30</v>
      </c>
      <c r="M17" s="281"/>
      <c r="N17" s="282"/>
      <c r="O17" s="296">
        <v>1</v>
      </c>
      <c r="P17" s="278">
        <v>48</v>
      </c>
      <c r="Q17" s="278">
        <v>122</v>
      </c>
      <c r="R17" s="278">
        <f t="shared" si="6"/>
        <v>74</v>
      </c>
      <c r="S17" s="282">
        <v>4000</v>
      </c>
      <c r="T17" s="282">
        <f t="shared" si="1"/>
        <v>296000</v>
      </c>
      <c r="U17" s="282"/>
      <c r="V17" s="282"/>
      <c r="W17" s="299">
        <v>1</v>
      </c>
      <c r="X17" s="278">
        <v>120000</v>
      </c>
      <c r="Y17" s="278">
        <f t="shared" si="7"/>
        <v>120000</v>
      </c>
      <c r="Z17" s="296"/>
      <c r="AA17" s="278"/>
      <c r="AB17" s="278"/>
      <c r="AC17" s="277">
        <v>1</v>
      </c>
      <c r="AD17" s="278">
        <v>100000</v>
      </c>
      <c r="AE17" s="278">
        <f t="shared" si="8"/>
        <v>100000</v>
      </c>
      <c r="AF17" s="278">
        <v>1</v>
      </c>
      <c r="AG17" s="278">
        <v>60000</v>
      </c>
      <c r="AH17" s="278">
        <f t="shared" si="9"/>
        <v>60000</v>
      </c>
      <c r="AI17" s="278"/>
      <c r="AJ17" s="278"/>
      <c r="AK17" s="278"/>
      <c r="AL17" s="296"/>
      <c r="AM17" s="278"/>
      <c r="AN17" s="284"/>
      <c r="AO17" s="278">
        <v>1</v>
      </c>
      <c r="AP17" s="278">
        <v>120000</v>
      </c>
      <c r="AQ17" s="278">
        <f t="shared" si="10"/>
        <v>120000</v>
      </c>
      <c r="AR17" s="285"/>
      <c r="AS17" s="285"/>
      <c r="AT17" s="285">
        <f t="shared" si="11"/>
        <v>0</v>
      </c>
      <c r="AU17" s="286">
        <f t="shared" si="2"/>
        <v>696000</v>
      </c>
      <c r="AV17" s="287">
        <f t="shared" si="3"/>
        <v>4496000</v>
      </c>
      <c r="AW17" s="278"/>
      <c r="AX17" s="288">
        <v>4496000</v>
      </c>
      <c r="AY17" s="289" t="str">
        <f t="shared" si="4"/>
        <v>Đủ</v>
      </c>
      <c r="AZ17" s="290">
        <f t="shared" si="5"/>
        <v>0</v>
      </c>
      <c r="BA17" s="291"/>
      <c r="BB17" s="282"/>
      <c r="BC17" s="278"/>
      <c r="BD17" s="278"/>
      <c r="BE17" s="278"/>
      <c r="BF17" s="278"/>
      <c r="BG17" s="278"/>
      <c r="BH17" s="278"/>
      <c r="BI17" s="278"/>
      <c r="BJ17" s="278"/>
      <c r="BK17" s="278"/>
      <c r="BL17" s="282"/>
      <c r="BM17" s="278"/>
      <c r="BN17" s="278"/>
      <c r="BO17" s="278"/>
      <c r="BP17" s="278"/>
      <c r="BQ17" s="278"/>
      <c r="BR17" s="278"/>
      <c r="BS17" s="292"/>
      <c r="BT17" s="278"/>
      <c r="BU17" s="292"/>
      <c r="BV17" s="278"/>
      <c r="BW17" s="278"/>
      <c r="BX17" s="278"/>
      <c r="BY17" s="278"/>
      <c r="BZ17" s="278"/>
      <c r="CA17" s="278"/>
      <c r="CB17" s="278"/>
      <c r="CC17" s="278"/>
      <c r="CD17" s="278"/>
      <c r="CE17" s="278"/>
      <c r="CF17" s="278"/>
      <c r="CG17" s="278"/>
    </row>
    <row r="18" spans="1:85" ht="18" customHeight="1">
      <c r="A18" s="277" t="s">
        <v>50</v>
      </c>
      <c r="B18" s="277" t="s">
        <v>144</v>
      </c>
      <c r="C18" s="278">
        <v>603</v>
      </c>
      <c r="D18" s="278" t="s">
        <v>238</v>
      </c>
      <c r="E18" s="278">
        <v>1</v>
      </c>
      <c r="F18" s="297">
        <v>3000000</v>
      </c>
      <c r="G18" s="280">
        <v>3300000</v>
      </c>
      <c r="H18" s="297">
        <v>3000000</v>
      </c>
      <c r="I18" s="297">
        <v>3000000</v>
      </c>
      <c r="J18" s="298"/>
      <c r="K18" s="278">
        <v>30</v>
      </c>
      <c r="L18" s="278">
        <v>30</v>
      </c>
      <c r="M18" s="281"/>
      <c r="N18" s="282"/>
      <c r="O18" s="296">
        <v>2</v>
      </c>
      <c r="P18" s="278">
        <v>69</v>
      </c>
      <c r="Q18" s="278">
        <v>103</v>
      </c>
      <c r="R18" s="278">
        <f t="shared" si="6"/>
        <v>34</v>
      </c>
      <c r="S18" s="282">
        <v>4000</v>
      </c>
      <c r="T18" s="282">
        <f t="shared" si="1"/>
        <v>136000</v>
      </c>
      <c r="U18" s="278"/>
      <c r="V18" s="278"/>
      <c r="W18" s="283">
        <v>2</v>
      </c>
      <c r="X18" s="278">
        <v>120000</v>
      </c>
      <c r="Y18" s="278">
        <f t="shared" si="7"/>
        <v>240000</v>
      </c>
      <c r="Z18" s="296"/>
      <c r="AA18" s="278"/>
      <c r="AB18" s="278">
        <f>Z18*AA18</f>
        <v>0</v>
      </c>
      <c r="AC18" s="277">
        <v>1</v>
      </c>
      <c r="AD18" s="278">
        <v>100000</v>
      </c>
      <c r="AE18" s="278">
        <f t="shared" si="8"/>
        <v>100000</v>
      </c>
      <c r="AF18" s="278">
        <v>2</v>
      </c>
      <c r="AG18" s="278">
        <v>60000</v>
      </c>
      <c r="AH18" s="278">
        <f t="shared" si="9"/>
        <v>120000</v>
      </c>
      <c r="AI18" s="278"/>
      <c r="AJ18" s="278"/>
      <c r="AK18" s="278"/>
      <c r="AL18" s="296"/>
      <c r="AM18" s="278"/>
      <c r="AN18" s="284"/>
      <c r="AO18" s="278">
        <v>2</v>
      </c>
      <c r="AP18" s="278">
        <v>120000</v>
      </c>
      <c r="AQ18" s="278">
        <f t="shared" si="10"/>
        <v>240000</v>
      </c>
      <c r="AR18" s="309">
        <f>(212-131)/2</f>
        <v>40.5</v>
      </c>
      <c r="AS18" s="285">
        <v>4000</v>
      </c>
      <c r="AT18" s="285">
        <f t="shared" si="11"/>
        <v>162000</v>
      </c>
      <c r="AU18" s="286">
        <f t="shared" si="2"/>
        <v>998000</v>
      </c>
      <c r="AV18" s="287">
        <f t="shared" si="3"/>
        <v>3998000</v>
      </c>
      <c r="AW18" s="278"/>
      <c r="AX18" s="288">
        <v>4000000</v>
      </c>
      <c r="AY18" s="289" t="str">
        <f t="shared" si="4"/>
        <v>Thừa</v>
      </c>
      <c r="AZ18" s="290">
        <f t="shared" si="5"/>
        <v>2000</v>
      </c>
      <c r="BA18" s="291"/>
      <c r="BB18" s="282"/>
      <c r="BC18" s="278"/>
      <c r="BD18" s="278"/>
      <c r="BE18" s="278"/>
      <c r="BF18" s="278"/>
      <c r="BG18" s="278"/>
      <c r="BH18" s="278"/>
      <c r="BI18" s="278"/>
      <c r="BJ18" s="278"/>
      <c r="BK18" s="278"/>
      <c r="BL18" s="282"/>
      <c r="BM18" s="278"/>
      <c r="BN18" s="278"/>
      <c r="BO18" s="278"/>
      <c r="BP18" s="278"/>
      <c r="BQ18" s="278"/>
      <c r="BR18" s="278"/>
      <c r="BS18" s="292"/>
      <c r="BT18" s="278"/>
      <c r="BU18" s="292"/>
      <c r="BV18" s="278"/>
      <c r="BW18" s="278"/>
      <c r="BX18" s="278"/>
      <c r="BY18" s="278"/>
      <c r="BZ18" s="278"/>
      <c r="CA18" s="278"/>
      <c r="CB18" s="278"/>
      <c r="CC18" s="278"/>
      <c r="CD18" s="278"/>
      <c r="CE18" s="278"/>
      <c r="CF18" s="278"/>
      <c r="CG18" s="278"/>
    </row>
    <row r="19" spans="1:85" ht="22.5" customHeight="1">
      <c r="A19" s="277" t="s">
        <v>51</v>
      </c>
      <c r="B19" s="277" t="s">
        <v>144</v>
      </c>
      <c r="C19" s="278">
        <v>604</v>
      </c>
      <c r="D19" s="278" t="s">
        <v>238</v>
      </c>
      <c r="E19" s="278">
        <v>1</v>
      </c>
      <c r="F19" s="297">
        <v>3500000</v>
      </c>
      <c r="G19" s="280">
        <v>3500000</v>
      </c>
      <c r="H19" s="297">
        <v>3500000</v>
      </c>
      <c r="I19" s="297">
        <v>3500000</v>
      </c>
      <c r="J19" s="298"/>
      <c r="K19" s="278">
        <v>30</v>
      </c>
      <c r="L19" s="278">
        <v>30</v>
      </c>
      <c r="M19" s="281"/>
      <c r="N19" s="282"/>
      <c r="O19" s="296">
        <v>3</v>
      </c>
      <c r="P19" s="278">
        <v>76</v>
      </c>
      <c r="Q19" s="278">
        <v>168</v>
      </c>
      <c r="R19" s="278">
        <f t="shared" si="6"/>
        <v>92</v>
      </c>
      <c r="S19" s="282">
        <v>4000</v>
      </c>
      <c r="T19" s="282">
        <f t="shared" si="1"/>
        <v>368000</v>
      </c>
      <c r="U19" s="278"/>
      <c r="V19" s="278"/>
      <c r="W19" s="283">
        <v>3</v>
      </c>
      <c r="X19" s="278">
        <v>120000</v>
      </c>
      <c r="Y19" s="278">
        <f t="shared" si="7"/>
        <v>360000</v>
      </c>
      <c r="Z19" s="296"/>
      <c r="AA19" s="278"/>
      <c r="AB19" s="278"/>
      <c r="AC19" s="277">
        <v>1</v>
      </c>
      <c r="AD19" s="278">
        <v>100000</v>
      </c>
      <c r="AE19" s="278">
        <f t="shared" si="8"/>
        <v>100000</v>
      </c>
      <c r="AF19" s="278">
        <v>3</v>
      </c>
      <c r="AG19" s="278">
        <v>60000</v>
      </c>
      <c r="AH19" s="278">
        <f t="shared" si="9"/>
        <v>180000</v>
      </c>
      <c r="AI19" s="278"/>
      <c r="AJ19" s="278"/>
      <c r="AK19" s="278"/>
      <c r="AL19" s="296"/>
      <c r="AM19" s="278"/>
      <c r="AN19" s="284"/>
      <c r="AO19" s="278">
        <v>3</v>
      </c>
      <c r="AP19" s="278">
        <v>120000</v>
      </c>
      <c r="AQ19" s="278">
        <f t="shared" si="10"/>
        <v>360000</v>
      </c>
      <c r="AR19" s="309">
        <f>(212-131)/2</f>
        <v>40.5</v>
      </c>
      <c r="AS19" s="285">
        <v>4000</v>
      </c>
      <c r="AT19" s="285">
        <f t="shared" si="11"/>
        <v>162000</v>
      </c>
      <c r="AU19" s="286">
        <f t="shared" si="2"/>
        <v>1530000</v>
      </c>
      <c r="AV19" s="287">
        <f t="shared" si="3"/>
        <v>5030000</v>
      </c>
      <c r="AW19" s="278"/>
      <c r="AX19" s="288">
        <v>5030000</v>
      </c>
      <c r="AY19" s="289" t="str">
        <f t="shared" si="4"/>
        <v>Đủ</v>
      </c>
      <c r="AZ19" s="290">
        <f t="shared" si="5"/>
        <v>0</v>
      </c>
      <c r="BA19" s="291"/>
      <c r="BB19" s="282"/>
      <c r="BC19" s="278"/>
      <c r="BD19" s="278"/>
      <c r="BE19" s="278"/>
      <c r="BF19" s="278"/>
      <c r="BG19" s="278"/>
      <c r="BH19" s="278"/>
      <c r="BI19" s="278"/>
      <c r="BJ19" s="278"/>
      <c r="BK19" s="278"/>
      <c r="BL19" s="282"/>
      <c r="BM19" s="278"/>
      <c r="BN19" s="278"/>
      <c r="BO19" s="278"/>
      <c r="BP19" s="278"/>
      <c r="BQ19" s="278"/>
      <c r="BR19" s="278"/>
      <c r="BS19" s="292"/>
      <c r="BT19" s="278"/>
      <c r="BU19" s="292"/>
      <c r="BV19" s="278"/>
      <c r="BW19" s="278"/>
      <c r="BX19" s="278"/>
      <c r="BY19" s="278"/>
      <c r="BZ19" s="278"/>
      <c r="CA19" s="278"/>
      <c r="CB19" s="278"/>
      <c r="CC19" s="278"/>
      <c r="CD19" s="278"/>
      <c r="CE19" s="278"/>
      <c r="CF19" s="278"/>
      <c r="CG19" s="278"/>
    </row>
  </sheetData>
  <mergeCells count="10">
    <mergeCell ref="AL1:AN1"/>
    <mergeCell ref="AO1:AQ1"/>
    <mergeCell ref="AR1:AT1"/>
    <mergeCell ref="BA1:BA2"/>
    <mergeCell ref="P1:T1"/>
    <mergeCell ref="U1:Y1"/>
    <mergeCell ref="Z1:AB1"/>
    <mergeCell ref="AC1:AE1"/>
    <mergeCell ref="AF1:AH1"/>
    <mergeCell ref="AI1:AK1"/>
  </mergeCells>
  <conditionalFormatting sqref="AZ4:AZ19">
    <cfRule type="notContainsBlanks" dxfId="6" priority="1">
      <formula>LEN(TRIM(AZ4))&gt;0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E6DA6-A215-4B6D-8AD7-E73DAB432FF0}">
  <dimension ref="A1:N86"/>
  <sheetViews>
    <sheetView topLeftCell="B1" workbookViewId="0">
      <selection activeCell="G9" sqref="G9:J11"/>
    </sheetView>
  </sheetViews>
  <sheetFormatPr defaultRowHeight="14.5"/>
  <cols>
    <col min="1" max="1" width="40.26953125" customWidth="1"/>
    <col min="2" max="2" width="24.36328125" customWidth="1"/>
    <col min="3" max="3" width="22.6328125" customWidth="1"/>
    <col min="4" max="4" width="22.453125" customWidth="1"/>
    <col min="6" max="13" width="8.7265625" customWidth="1"/>
    <col min="14" max="14" width="12" customWidth="1"/>
  </cols>
  <sheetData>
    <row r="1" spans="1:14" s="144" customFormat="1" ht="15">
      <c r="A1" s="345" t="s">
        <v>275</v>
      </c>
      <c r="B1" s="345"/>
      <c r="C1" s="345"/>
      <c r="D1" s="345"/>
      <c r="E1" s="143"/>
      <c r="F1" s="346" t="s">
        <v>239</v>
      </c>
      <c r="G1" s="347"/>
      <c r="H1" s="347"/>
      <c r="I1" s="347"/>
      <c r="J1" s="347"/>
      <c r="K1" s="347"/>
      <c r="L1" s="347"/>
      <c r="M1" s="348"/>
    </row>
    <row r="2" spans="1:14" s="144" customFormat="1">
      <c r="A2" s="145" t="s">
        <v>276</v>
      </c>
      <c r="B2" s="146"/>
      <c r="C2" s="147">
        <f>'HĐ T5.26 '!AX2</f>
        <v>79676000</v>
      </c>
      <c r="D2" s="148" t="s">
        <v>173</v>
      </c>
      <c r="E2" s="149"/>
      <c r="F2" s="150"/>
      <c r="G2" s="150" t="s">
        <v>174</v>
      </c>
      <c r="H2" s="150" t="s">
        <v>175</v>
      </c>
      <c r="I2" s="150" t="s">
        <v>176</v>
      </c>
      <c r="J2" s="150" t="s">
        <v>177</v>
      </c>
      <c r="K2" s="151" t="s">
        <v>178</v>
      </c>
      <c r="L2" s="152" t="s">
        <v>179</v>
      </c>
      <c r="M2" s="152" t="s">
        <v>180</v>
      </c>
    </row>
    <row r="3" spans="1:14" s="144" customFormat="1">
      <c r="A3" s="349" t="s">
        <v>181</v>
      </c>
      <c r="B3" s="154"/>
      <c r="C3" s="155"/>
      <c r="D3" s="156"/>
      <c r="E3" s="149"/>
      <c r="F3" s="157" t="s">
        <v>182</v>
      </c>
      <c r="G3" s="155">
        <v>10</v>
      </c>
      <c r="H3" s="155">
        <f>G3*($C$22/100)</f>
        <v>4800000</v>
      </c>
      <c r="I3" s="155">
        <f>G3*$C$73/100</f>
        <v>1754299.5</v>
      </c>
      <c r="J3" s="155">
        <f>G3*$C$74/100</f>
        <v>1223951.879359147</v>
      </c>
      <c r="K3" s="158"/>
      <c r="L3" s="156"/>
      <c r="M3" s="157">
        <f>H3+J3</f>
        <v>6023951.8793591466</v>
      </c>
    </row>
    <row r="4" spans="1:14" s="144" customFormat="1">
      <c r="A4" s="350"/>
      <c r="B4" s="154"/>
      <c r="C4" s="155"/>
      <c r="D4" s="156"/>
      <c r="E4" s="149"/>
      <c r="F4" s="157" t="s">
        <v>183</v>
      </c>
      <c r="G4" s="155">
        <v>20</v>
      </c>
      <c r="H4" s="155">
        <f t="shared" ref="H4:H11" si="0">G4*($C$22/100)</f>
        <v>9600000</v>
      </c>
      <c r="I4" s="155">
        <f t="shared" ref="I4:I11" si="1">G4*$C$73/100</f>
        <v>3508599</v>
      </c>
      <c r="J4" s="155">
        <f t="shared" ref="J4:J11" si="2">G4*$C$74/100</f>
        <v>2447903.7587182941</v>
      </c>
      <c r="K4" s="158"/>
      <c r="L4" s="156"/>
      <c r="M4" s="157">
        <f t="shared" ref="M4:M11" si="3">H4+J4</f>
        <v>12047903.758718293</v>
      </c>
    </row>
    <row r="5" spans="1:14" s="144" customFormat="1">
      <c r="A5" s="351"/>
      <c r="B5" s="154"/>
      <c r="C5" s="155"/>
      <c r="D5" s="156"/>
      <c r="F5" s="157" t="s">
        <v>240</v>
      </c>
      <c r="G5" s="155">
        <v>15</v>
      </c>
      <c r="H5" s="155">
        <f t="shared" si="0"/>
        <v>7200000</v>
      </c>
      <c r="I5" s="155">
        <f t="shared" si="1"/>
        <v>2631449.25</v>
      </c>
      <c r="J5" s="155">
        <f t="shared" si="2"/>
        <v>1835927.8190387203</v>
      </c>
      <c r="K5" s="158"/>
      <c r="L5" s="156"/>
      <c r="M5" s="157">
        <f t="shared" si="3"/>
        <v>9035927.8190387208</v>
      </c>
    </row>
    <row r="6" spans="1:14" s="144" customFormat="1">
      <c r="A6" s="153" t="s">
        <v>185</v>
      </c>
      <c r="B6" s="159"/>
      <c r="C6" s="160"/>
      <c r="D6" s="161"/>
      <c r="F6" s="157" t="s">
        <v>241</v>
      </c>
      <c r="G6" s="155">
        <v>5</v>
      </c>
      <c r="H6" s="155">
        <f t="shared" si="0"/>
        <v>2400000</v>
      </c>
      <c r="I6" s="155">
        <f t="shared" si="1"/>
        <v>877149.75</v>
      </c>
      <c r="J6" s="155">
        <f t="shared" si="2"/>
        <v>611975.93967957352</v>
      </c>
      <c r="K6" s="158"/>
      <c r="L6" s="156"/>
      <c r="M6" s="157">
        <f t="shared" si="3"/>
        <v>3011975.9396795733</v>
      </c>
    </row>
    <row r="7" spans="1:14" s="144" customFormat="1">
      <c r="A7" s="349" t="s">
        <v>186</v>
      </c>
      <c r="B7" s="159"/>
      <c r="C7" s="160"/>
      <c r="D7" s="161"/>
      <c r="F7" s="157" t="s">
        <v>242</v>
      </c>
      <c r="G7" s="155">
        <v>15</v>
      </c>
      <c r="H7" s="155">
        <f t="shared" si="0"/>
        <v>7200000</v>
      </c>
      <c r="I7" s="155">
        <f t="shared" si="1"/>
        <v>2631449.25</v>
      </c>
      <c r="J7" s="155">
        <f t="shared" si="2"/>
        <v>1835927.8190387203</v>
      </c>
      <c r="K7" s="158"/>
      <c r="L7" s="156"/>
      <c r="M7" s="157">
        <f t="shared" si="3"/>
        <v>9035927.8190387208</v>
      </c>
    </row>
    <row r="8" spans="1:14" s="144" customFormat="1">
      <c r="A8" s="351"/>
      <c r="B8" s="159"/>
      <c r="C8" s="160"/>
      <c r="D8" s="161"/>
      <c r="F8" s="157" t="s">
        <v>184</v>
      </c>
      <c r="G8" s="155">
        <v>10</v>
      </c>
      <c r="H8" s="155">
        <f t="shared" si="0"/>
        <v>4800000</v>
      </c>
      <c r="I8" s="155">
        <f t="shared" si="1"/>
        <v>1754299.5</v>
      </c>
      <c r="J8" s="155">
        <f t="shared" si="2"/>
        <v>1223951.879359147</v>
      </c>
      <c r="K8" s="158"/>
      <c r="L8" s="156"/>
      <c r="M8" s="157">
        <f t="shared" si="3"/>
        <v>6023951.8793591466</v>
      </c>
      <c r="N8" s="166">
        <f>H13+J13</f>
        <v>60239518.79359147</v>
      </c>
    </row>
    <row r="9" spans="1:14" s="144" customFormat="1">
      <c r="A9" s="153"/>
      <c r="B9" s="159" t="s">
        <v>187</v>
      </c>
      <c r="C9" s="160">
        <v>0</v>
      </c>
      <c r="D9" s="161"/>
      <c r="F9" s="157" t="s">
        <v>243</v>
      </c>
      <c r="G9" s="155">
        <v>5</v>
      </c>
      <c r="H9" s="155">
        <f t="shared" si="0"/>
        <v>2400000</v>
      </c>
      <c r="I9" s="155">
        <f t="shared" si="1"/>
        <v>877149.75</v>
      </c>
      <c r="J9" s="155">
        <f t="shared" si="2"/>
        <v>611975.93967957352</v>
      </c>
      <c r="K9" s="158"/>
      <c r="L9" s="156"/>
      <c r="M9" s="157">
        <f t="shared" si="3"/>
        <v>3011975.9396795733</v>
      </c>
      <c r="N9" s="166">
        <f>H13+J13</f>
        <v>60239518.79359147</v>
      </c>
    </row>
    <row r="10" spans="1:14" s="144" customFormat="1">
      <c r="A10" s="153"/>
      <c r="B10" s="159" t="s">
        <v>188</v>
      </c>
      <c r="C10" s="160">
        <v>0</v>
      </c>
      <c r="D10" s="161"/>
      <c r="F10" s="157" t="s">
        <v>244</v>
      </c>
      <c r="G10" s="155">
        <v>10</v>
      </c>
      <c r="H10" s="155">
        <f t="shared" si="0"/>
        <v>4800000</v>
      </c>
      <c r="I10" s="155">
        <f t="shared" si="1"/>
        <v>1754299.5</v>
      </c>
      <c r="J10" s="155">
        <f t="shared" si="2"/>
        <v>1223951.879359147</v>
      </c>
      <c r="K10" s="158"/>
      <c r="L10" s="156"/>
      <c r="M10" s="157">
        <f t="shared" si="3"/>
        <v>6023951.8793591466</v>
      </c>
    </row>
    <row r="11" spans="1:14" s="144" customFormat="1">
      <c r="A11" s="153"/>
      <c r="B11" s="159" t="s">
        <v>189</v>
      </c>
      <c r="C11" s="160">
        <v>0</v>
      </c>
      <c r="D11" s="161"/>
      <c r="F11" s="157" t="s">
        <v>245</v>
      </c>
      <c r="G11" s="155">
        <v>10</v>
      </c>
      <c r="H11" s="155">
        <f t="shared" si="0"/>
        <v>4800000</v>
      </c>
      <c r="I11" s="155">
        <f t="shared" si="1"/>
        <v>1754299.5</v>
      </c>
      <c r="J11" s="155">
        <f t="shared" si="2"/>
        <v>1223951.879359147</v>
      </c>
      <c r="K11" s="158"/>
      <c r="L11" s="156"/>
      <c r="M11" s="157">
        <f t="shared" si="3"/>
        <v>6023951.8793591466</v>
      </c>
    </row>
    <row r="12" spans="1:14" s="144" customFormat="1">
      <c r="A12" s="167"/>
      <c r="B12" s="154" t="s">
        <v>190</v>
      </c>
      <c r="C12" s="168">
        <f>'HĐ T5.26 '!I2</f>
        <v>57500000</v>
      </c>
      <c r="D12" s="169"/>
      <c r="F12" s="157"/>
      <c r="G12" s="155"/>
      <c r="H12" s="155"/>
      <c r="I12" s="155"/>
      <c r="J12" s="155"/>
      <c r="K12" s="158"/>
      <c r="L12" s="156"/>
      <c r="M12" s="157"/>
    </row>
    <row r="13" spans="1:14" s="144" customFormat="1">
      <c r="A13" s="170"/>
      <c r="B13" s="170" t="s">
        <v>191</v>
      </c>
      <c r="C13" s="171">
        <f>'HĐ T5.26 '!T2+'HĐ T5.26 '!AT2</f>
        <v>12070000</v>
      </c>
      <c r="D13" s="172"/>
      <c r="E13" s="173"/>
      <c r="F13" s="162"/>
      <c r="G13" s="163">
        <f>SUM(G3:G12)</f>
        <v>100</v>
      </c>
      <c r="H13" s="163">
        <f>SUM(H3:H12)</f>
        <v>48000000</v>
      </c>
      <c r="I13" s="163">
        <f>SUM(I3:I12)</f>
        <v>17542995</v>
      </c>
      <c r="J13" s="163">
        <f>SUM(J3:J12)</f>
        <v>12239518.79359147</v>
      </c>
      <c r="K13" s="164">
        <f>C78*100</f>
        <v>19.698900437201562</v>
      </c>
      <c r="L13" s="162">
        <f>C80</f>
        <v>3.8440688837002193</v>
      </c>
      <c r="M13" s="163">
        <f>SUM(M3:M12)</f>
        <v>60239518.79359147</v>
      </c>
    </row>
    <row r="14" spans="1:14" s="144" customFormat="1">
      <c r="A14" s="174"/>
      <c r="B14" s="174" t="s">
        <v>192</v>
      </c>
      <c r="C14" s="168">
        <f>'HĐ T5.26 '!Y2</f>
        <v>3240000</v>
      </c>
      <c r="D14" s="175"/>
      <c r="E14" s="173"/>
    </row>
    <row r="15" spans="1:14" s="144" customFormat="1">
      <c r="A15" s="174"/>
      <c r="B15" s="174" t="s">
        <v>193</v>
      </c>
      <c r="C15" s="168">
        <f>'HĐ T5.26 '!AQ2/2</f>
        <v>1620000</v>
      </c>
      <c r="D15" s="175"/>
      <c r="E15" s="173"/>
      <c r="F15" s="165"/>
    </row>
    <row r="16" spans="1:14" s="144" customFormat="1">
      <c r="A16" s="174"/>
      <c r="B16" s="174" t="s">
        <v>194</v>
      </c>
      <c r="C16" s="168">
        <f>'HĐ T5.26 '!AE2</f>
        <v>1100000</v>
      </c>
      <c r="D16" s="175"/>
      <c r="E16" s="173"/>
    </row>
    <row r="17" spans="1:14" s="144" customFormat="1">
      <c r="A17" s="176"/>
      <c r="B17" s="174" t="s">
        <v>195</v>
      </c>
      <c r="C17" s="177">
        <f>'HĐ T5.26 '!AK2</f>
        <v>850000</v>
      </c>
      <c r="D17" s="178"/>
      <c r="E17" s="173"/>
    </row>
    <row r="18" spans="1:14" s="144" customFormat="1">
      <c r="A18" s="176"/>
      <c r="B18" s="176" t="s">
        <v>196</v>
      </c>
      <c r="C18" s="160">
        <f>'HĐ T5.26 '!AH2</f>
        <v>1560000</v>
      </c>
      <c r="D18" s="178"/>
      <c r="E18" s="173"/>
    </row>
    <row r="19" spans="1:14" s="144" customFormat="1" ht="15" thickBot="1">
      <c r="A19" s="176"/>
      <c r="B19" s="179" t="s">
        <v>197</v>
      </c>
      <c r="C19" s="180">
        <f>'HĐ T5.26 '!AQ2/2</f>
        <v>1620000</v>
      </c>
      <c r="D19" s="178"/>
      <c r="E19" s="173"/>
    </row>
    <row r="20" spans="1:14" s="144" customFormat="1" ht="15" thickBot="1">
      <c r="A20" s="179"/>
      <c r="B20" s="181" t="s">
        <v>198</v>
      </c>
      <c r="C20" s="182">
        <f>SUM(C13:C19)</f>
        <v>22060000</v>
      </c>
      <c r="D20" s="183"/>
      <c r="E20" s="173"/>
    </row>
    <row r="21" spans="1:14" s="144" customFormat="1">
      <c r="A21" s="184"/>
      <c r="B21" s="185"/>
      <c r="C21" s="186"/>
      <c r="D21" s="187"/>
      <c r="E21" s="173"/>
      <c r="N21" s="166"/>
    </row>
    <row r="22" spans="1:14" s="144" customFormat="1">
      <c r="A22" s="190" t="s">
        <v>199</v>
      </c>
      <c r="B22" s="154" t="s">
        <v>200</v>
      </c>
      <c r="C22" s="155">
        <v>48000000</v>
      </c>
      <c r="D22" s="156"/>
      <c r="E22" s="173"/>
    </row>
    <row r="23" spans="1:14" s="144" customFormat="1">
      <c r="A23" s="343" t="s">
        <v>201</v>
      </c>
      <c r="B23" s="192"/>
      <c r="C23" s="155"/>
      <c r="D23" s="156"/>
      <c r="E23" s="173"/>
      <c r="N23" s="189"/>
    </row>
    <row r="24" spans="1:14" s="144" customFormat="1">
      <c r="A24" s="344"/>
      <c r="B24" s="192"/>
      <c r="C24" s="155"/>
      <c r="D24" s="156"/>
      <c r="E24" s="173"/>
      <c r="N24" s="189"/>
    </row>
    <row r="25" spans="1:14" s="144" customFormat="1">
      <c r="A25" s="344"/>
      <c r="B25" s="154"/>
      <c r="C25" s="155"/>
      <c r="D25" s="155"/>
      <c r="E25" s="173"/>
      <c r="N25" s="189"/>
    </row>
    <row r="26" spans="1:14" s="144" customFormat="1">
      <c r="A26" s="344"/>
      <c r="B26" s="154"/>
      <c r="C26" s="155"/>
      <c r="D26" s="156"/>
      <c r="E26" s="173"/>
      <c r="N26" s="189"/>
    </row>
    <row r="27" spans="1:14" s="144" customFormat="1">
      <c r="A27" s="352"/>
      <c r="B27" s="154"/>
      <c r="C27" s="195"/>
      <c r="D27" s="156"/>
      <c r="E27" s="196"/>
      <c r="F27" s="165"/>
      <c r="N27" s="189"/>
    </row>
    <row r="28" spans="1:14" s="144" customFormat="1">
      <c r="A28" s="343" t="s">
        <v>202</v>
      </c>
      <c r="B28" s="154" t="s">
        <v>19</v>
      </c>
      <c r="C28" s="155">
        <v>13533005</v>
      </c>
      <c r="D28" s="156"/>
      <c r="E28" s="173"/>
      <c r="F28" s="188"/>
      <c r="G28" s="188"/>
      <c r="H28" s="188"/>
      <c r="I28" s="188"/>
      <c r="J28" s="188"/>
      <c r="K28" s="188"/>
      <c r="L28" s="188"/>
      <c r="M28" s="189"/>
      <c r="N28" s="189"/>
    </row>
    <row r="29" spans="1:14" s="144" customFormat="1">
      <c r="A29" s="344"/>
      <c r="B29" s="154" t="s">
        <v>20</v>
      </c>
      <c r="C29" s="155">
        <v>300000</v>
      </c>
      <c r="D29" s="156"/>
      <c r="E29" s="173"/>
      <c r="F29" s="188"/>
      <c r="G29" s="188"/>
      <c r="H29" s="188"/>
      <c r="I29" s="188"/>
      <c r="J29" s="188"/>
      <c r="K29" s="188"/>
      <c r="L29" s="188"/>
      <c r="M29" s="191"/>
      <c r="N29" s="189"/>
    </row>
    <row r="30" spans="1:14" s="144" customFormat="1">
      <c r="A30" s="344"/>
      <c r="B30" s="154" t="s">
        <v>203</v>
      </c>
      <c r="C30" s="155">
        <v>0</v>
      </c>
      <c r="D30" s="156"/>
      <c r="E30" s="173"/>
      <c r="F30" s="173"/>
      <c r="G30" s="173"/>
      <c r="H30" s="173"/>
      <c r="I30" s="173"/>
      <c r="J30" s="193"/>
      <c r="K30" s="194"/>
      <c r="L30" s="173"/>
      <c r="M30" s="173"/>
      <c r="N30" s="189"/>
    </row>
    <row r="31" spans="1:14" s="144" customFormat="1">
      <c r="A31" s="344"/>
      <c r="B31" s="154" t="s">
        <v>204</v>
      </c>
      <c r="C31" s="155">
        <v>300000</v>
      </c>
      <c r="D31" s="155"/>
      <c r="E31" s="149"/>
      <c r="F31" s="173"/>
      <c r="G31" s="173"/>
      <c r="H31" s="173"/>
      <c r="I31" s="173"/>
      <c r="J31" s="193"/>
      <c r="K31" s="194"/>
      <c r="L31" s="173"/>
      <c r="M31" s="173"/>
    </row>
    <row r="32" spans="1:14" s="144" customFormat="1">
      <c r="A32" s="344"/>
      <c r="B32" s="154" t="s">
        <v>205</v>
      </c>
      <c r="C32" s="155"/>
      <c r="D32" s="156"/>
      <c r="E32" s="149"/>
      <c r="F32" s="173"/>
      <c r="G32" s="173"/>
      <c r="H32" s="173"/>
      <c r="I32" s="173"/>
      <c r="J32" s="193"/>
      <c r="K32" s="194"/>
      <c r="L32" s="173"/>
      <c r="M32" s="173"/>
    </row>
    <row r="33" spans="1:13" s="144" customFormat="1">
      <c r="A33" s="344"/>
      <c r="B33" s="154" t="s">
        <v>206</v>
      </c>
      <c r="C33" s="155"/>
      <c r="D33" s="156"/>
      <c r="E33" s="149"/>
      <c r="F33" s="173"/>
      <c r="G33" s="173"/>
      <c r="H33" s="173"/>
      <c r="I33" s="173"/>
      <c r="J33" s="193"/>
      <c r="K33" s="194"/>
      <c r="L33" s="173"/>
      <c r="M33" s="173"/>
    </row>
    <row r="34" spans="1:13" s="144" customFormat="1">
      <c r="A34" s="198" t="s">
        <v>207</v>
      </c>
      <c r="B34" s="145"/>
      <c r="C34" s="147">
        <f>SUM(C22:C33)</f>
        <v>62133005</v>
      </c>
      <c r="D34" s="156"/>
      <c r="E34" s="149"/>
      <c r="F34" s="173"/>
      <c r="G34" s="173"/>
      <c r="H34" s="173"/>
      <c r="I34" s="173"/>
      <c r="J34" s="193"/>
      <c r="K34" s="194"/>
      <c r="L34" s="173"/>
      <c r="M34" s="173"/>
    </row>
    <row r="35" spans="1:13" s="144" customFormat="1">
      <c r="A35" s="353" t="s">
        <v>208</v>
      </c>
      <c r="B35" s="154" t="s">
        <v>21</v>
      </c>
      <c r="C35" s="155">
        <f>'[12]THÁNG 5 '!$W$118+(2134615/398)*15</f>
        <v>1614204.8723018058</v>
      </c>
      <c r="D35" s="155"/>
      <c r="E35" s="143"/>
      <c r="F35" s="173"/>
      <c r="G35" s="173"/>
      <c r="H35" s="173"/>
      <c r="I35" s="173"/>
      <c r="J35" s="193"/>
      <c r="K35" s="194"/>
      <c r="L35" s="173"/>
      <c r="M35" s="173"/>
    </row>
    <row r="36" spans="1:13" s="144" customFormat="1">
      <c r="A36" s="354"/>
      <c r="B36" s="154" t="s">
        <v>22</v>
      </c>
      <c r="C36" s="155">
        <f>(12000000/1293)*15</f>
        <v>139211.13689095128</v>
      </c>
      <c r="D36" s="155"/>
      <c r="E36" s="143"/>
      <c r="F36" s="173"/>
      <c r="G36" s="173"/>
      <c r="H36" s="173"/>
      <c r="I36" s="173"/>
      <c r="J36" s="193"/>
      <c r="K36" s="194"/>
      <c r="L36" s="173"/>
      <c r="M36" s="173"/>
    </row>
    <row r="37" spans="1:13" s="144" customFormat="1">
      <c r="A37" s="354"/>
      <c r="B37" s="154" t="s">
        <v>209</v>
      </c>
      <c r="C37" s="155">
        <f>(10000000/1293)*15+7000*15</f>
        <v>221009.28074245941</v>
      </c>
      <c r="D37" s="155"/>
      <c r="E37" s="143"/>
      <c r="F37" s="149"/>
      <c r="G37" s="149"/>
      <c r="H37" s="149"/>
      <c r="I37" s="149"/>
      <c r="J37" s="143"/>
      <c r="K37" s="197"/>
      <c r="L37" s="149"/>
      <c r="M37" s="149"/>
    </row>
    <row r="38" spans="1:13" s="144" customFormat="1">
      <c r="A38" s="354"/>
      <c r="B38" s="154" t="s">
        <v>24</v>
      </c>
      <c r="C38" s="155">
        <f>(8000000/1293)*15+5000*15</f>
        <v>167807.4245939675</v>
      </c>
      <c r="D38" s="155"/>
      <c r="E38" s="143"/>
      <c r="F38" s="149"/>
      <c r="G38" s="149"/>
      <c r="H38" s="149"/>
      <c r="I38" s="149"/>
      <c r="J38" s="143"/>
      <c r="K38" s="197"/>
      <c r="L38" s="149"/>
      <c r="M38" s="149"/>
    </row>
    <row r="39" spans="1:13" s="144" customFormat="1">
      <c r="A39" s="354"/>
      <c r="B39" s="154" t="s">
        <v>255</v>
      </c>
      <c r="C39" s="155"/>
      <c r="D39" s="155"/>
      <c r="E39" s="143"/>
      <c r="F39" s="149"/>
      <c r="G39" s="149"/>
      <c r="H39" s="149"/>
      <c r="I39" s="149"/>
      <c r="J39" s="143"/>
      <c r="K39" s="197"/>
      <c r="L39" s="149"/>
      <c r="M39" s="149"/>
    </row>
    <row r="40" spans="1:13" s="144" customFormat="1">
      <c r="A40" s="354"/>
      <c r="B40" s="154" t="s">
        <v>210</v>
      </c>
      <c r="C40" s="155">
        <f>(SUM('[12]THÁNG 5 '!$Y$126/1293)*15)</f>
        <v>472871.68213457073</v>
      </c>
      <c r="D40" s="155"/>
      <c r="E40" s="143"/>
      <c r="F40" s="149"/>
      <c r="G40" s="149"/>
      <c r="H40" s="149"/>
      <c r="I40" s="149"/>
      <c r="J40" s="143"/>
      <c r="K40" s="197"/>
      <c r="L40" s="149"/>
      <c r="M40" s="149"/>
    </row>
    <row r="41" spans="1:13" s="144" customFormat="1">
      <c r="A41" s="354"/>
      <c r="B41" s="154" t="s">
        <v>26</v>
      </c>
      <c r="C41" s="155">
        <v>550000</v>
      </c>
      <c r="D41" s="155"/>
      <c r="E41" s="143"/>
      <c r="F41" s="149"/>
      <c r="G41" s="149"/>
      <c r="H41" s="149"/>
      <c r="I41" s="149"/>
      <c r="J41" s="143"/>
      <c r="K41" s="197"/>
      <c r="L41" s="149"/>
      <c r="M41" s="149"/>
    </row>
    <row r="42" spans="1:13" s="144" customFormat="1">
      <c r="A42" s="354"/>
      <c r="B42" s="154" t="s">
        <v>27</v>
      </c>
      <c r="C42" s="155">
        <f>150000+10000+(2000000/1293)*15</f>
        <v>183201.85614849188</v>
      </c>
      <c r="D42" s="155"/>
      <c r="E42" s="143"/>
      <c r="F42" s="149"/>
      <c r="G42" s="149"/>
      <c r="H42" s="149"/>
      <c r="I42" s="149"/>
      <c r="J42" s="143"/>
      <c r="K42" s="197"/>
      <c r="L42" s="149"/>
      <c r="M42" s="149"/>
    </row>
    <row r="43" spans="1:13" s="144" customFormat="1">
      <c r="A43" s="354"/>
      <c r="B43" s="154" t="s">
        <v>28</v>
      </c>
      <c r="C43" s="155">
        <f>(22000000/1293)*15</f>
        <v>255220.41763341066</v>
      </c>
      <c r="D43" s="155"/>
      <c r="E43" s="143"/>
      <c r="F43" s="149"/>
      <c r="G43" s="149"/>
      <c r="H43" s="149"/>
      <c r="I43" s="149"/>
      <c r="J43" s="143"/>
      <c r="K43" s="197"/>
      <c r="L43" s="149"/>
      <c r="M43" s="149"/>
    </row>
    <row r="44" spans="1:13" s="144" customFormat="1">
      <c r="A44" s="354"/>
      <c r="B44" s="154" t="s">
        <v>29</v>
      </c>
      <c r="C44" s="155"/>
      <c r="D44" s="155"/>
      <c r="E44" s="143"/>
      <c r="F44" s="149"/>
      <c r="G44" s="149"/>
      <c r="H44" s="149"/>
      <c r="I44" s="149"/>
      <c r="J44" s="143"/>
      <c r="K44" s="197"/>
      <c r="L44" s="149"/>
      <c r="M44" s="149"/>
    </row>
    <row r="45" spans="1:13" s="144" customFormat="1">
      <c r="A45" s="355"/>
      <c r="B45" s="154" t="s">
        <v>211</v>
      </c>
      <c r="C45" s="155">
        <f>('[13]THÁNG 5.26  '!$B$35/1293)*15</f>
        <v>751465.77726218104</v>
      </c>
      <c r="D45" s="155"/>
      <c r="E45" s="143"/>
      <c r="F45" s="149"/>
      <c r="G45" s="149"/>
      <c r="H45" s="149"/>
      <c r="I45" s="149"/>
      <c r="J45" s="143"/>
      <c r="K45" s="197"/>
      <c r="L45" s="149"/>
      <c r="M45" s="149"/>
    </row>
    <row r="46" spans="1:13" s="144" customFormat="1">
      <c r="A46" s="343" t="s">
        <v>212</v>
      </c>
      <c r="B46" s="349" t="s">
        <v>31</v>
      </c>
      <c r="C46" s="155">
        <f>('[13]THÁNG 5.26  '!$F$10/1293)*15</f>
        <v>183483.75870069605</v>
      </c>
      <c r="D46" s="155"/>
      <c r="E46" s="143"/>
      <c r="F46" s="149"/>
      <c r="G46" s="149"/>
      <c r="H46" s="149"/>
      <c r="I46" s="149"/>
      <c r="J46" s="143"/>
      <c r="K46" s="197"/>
      <c r="L46" s="149"/>
      <c r="M46" s="149"/>
    </row>
    <row r="47" spans="1:13" s="144" customFormat="1">
      <c r="A47" s="344"/>
      <c r="B47" s="350"/>
      <c r="C47" s="155"/>
      <c r="D47" s="155"/>
      <c r="E47" s="143"/>
      <c r="F47" s="149"/>
      <c r="G47" s="149"/>
      <c r="H47" s="149"/>
      <c r="I47" s="149"/>
      <c r="J47" s="143"/>
      <c r="K47" s="197"/>
      <c r="L47" s="149"/>
      <c r="M47" s="149"/>
    </row>
    <row r="48" spans="1:13" s="144" customFormat="1">
      <c r="A48" s="344"/>
      <c r="B48" s="350"/>
      <c r="C48" s="155"/>
      <c r="D48" s="155"/>
      <c r="E48" s="143"/>
      <c r="F48" s="149"/>
      <c r="G48" s="149"/>
      <c r="H48" s="149"/>
      <c r="I48" s="149"/>
      <c r="J48" s="143"/>
      <c r="K48" s="197"/>
      <c r="L48" s="149"/>
      <c r="M48" s="149"/>
    </row>
    <row r="49" spans="1:13" s="144" customFormat="1">
      <c r="A49" s="344"/>
      <c r="B49" s="351"/>
      <c r="C49" s="155"/>
      <c r="D49" s="155"/>
      <c r="E49" s="143"/>
      <c r="F49" s="149"/>
      <c r="G49" s="149"/>
      <c r="H49" s="149"/>
      <c r="I49" s="149"/>
      <c r="J49" s="143"/>
      <c r="K49" s="197"/>
      <c r="L49" s="149"/>
      <c r="M49" s="149"/>
    </row>
    <row r="50" spans="1:13" s="144" customFormat="1">
      <c r="A50" s="344"/>
      <c r="B50" s="356" t="s">
        <v>213</v>
      </c>
      <c r="C50" s="155">
        <v>120000</v>
      </c>
      <c r="D50" s="199" t="s">
        <v>277</v>
      </c>
      <c r="E50" s="143"/>
      <c r="F50" s="149"/>
      <c r="G50" s="149"/>
      <c r="H50" s="149"/>
      <c r="I50" s="149"/>
      <c r="J50" s="143"/>
      <c r="K50" s="197"/>
      <c r="L50" s="149"/>
      <c r="M50" s="149"/>
    </row>
    <row r="51" spans="1:13" s="144" customFormat="1" ht="24" customHeight="1">
      <c r="A51" s="344"/>
      <c r="B51" s="357"/>
      <c r="C51" s="200">
        <v>120000</v>
      </c>
      <c r="D51" s="199" t="s">
        <v>261</v>
      </c>
      <c r="E51" s="143"/>
      <c r="F51" s="149"/>
      <c r="G51" s="149"/>
      <c r="H51" s="149"/>
      <c r="I51" s="149"/>
      <c r="J51" s="143"/>
      <c r="K51" s="197"/>
      <c r="L51" s="149"/>
      <c r="M51" s="149"/>
    </row>
    <row r="52" spans="1:13" s="144" customFormat="1">
      <c r="A52" s="344"/>
      <c r="B52" s="357"/>
      <c r="C52" s="200"/>
      <c r="D52" s="199"/>
      <c r="E52" s="143"/>
      <c r="F52" s="149"/>
      <c r="G52" s="149"/>
      <c r="H52" s="149"/>
      <c r="I52" s="149"/>
      <c r="J52" s="143"/>
      <c r="K52" s="197"/>
      <c r="L52" s="149"/>
      <c r="M52" s="149"/>
    </row>
    <row r="53" spans="1:13" s="144" customFormat="1">
      <c r="A53" s="344"/>
      <c r="B53" s="357"/>
      <c r="C53" s="200"/>
      <c r="D53" s="199"/>
      <c r="E53" s="143"/>
      <c r="F53" s="149"/>
      <c r="G53" s="149"/>
      <c r="H53" s="149"/>
      <c r="I53" s="149"/>
      <c r="J53" s="143"/>
      <c r="K53" s="197"/>
      <c r="L53" s="149"/>
      <c r="M53" s="149"/>
    </row>
    <row r="54" spans="1:13" s="144" customFormat="1">
      <c r="A54" s="344"/>
      <c r="B54" s="357"/>
      <c r="C54" s="200"/>
      <c r="D54" s="199"/>
      <c r="E54" s="143"/>
      <c r="F54" s="149"/>
      <c r="G54" s="149"/>
      <c r="H54" s="149"/>
      <c r="I54" s="149"/>
      <c r="J54" s="143"/>
      <c r="K54" s="197"/>
      <c r="L54" s="149"/>
      <c r="M54" s="149"/>
    </row>
    <row r="55" spans="1:13" s="144" customFormat="1">
      <c r="A55" s="344"/>
      <c r="B55" s="357"/>
      <c r="C55" s="200"/>
      <c r="D55" s="199"/>
      <c r="E55" s="143"/>
      <c r="F55" s="149"/>
      <c r="G55" s="149"/>
      <c r="H55" s="149"/>
      <c r="I55" s="149"/>
      <c r="J55" s="143"/>
      <c r="K55" s="197"/>
      <c r="L55" s="149"/>
      <c r="M55" s="149"/>
    </row>
    <row r="56" spans="1:13" s="144" customFormat="1">
      <c r="A56" s="344"/>
      <c r="B56" s="357"/>
      <c r="C56" s="200"/>
      <c r="D56" s="199"/>
      <c r="E56" s="143"/>
      <c r="F56" s="149"/>
      <c r="G56" s="149"/>
      <c r="H56" s="149"/>
      <c r="I56" s="149"/>
      <c r="J56" s="143"/>
      <c r="K56" s="197"/>
      <c r="L56" s="149"/>
      <c r="M56" s="149"/>
    </row>
    <row r="57" spans="1:13" s="144" customFormat="1">
      <c r="A57" s="344"/>
      <c r="B57" s="357"/>
      <c r="C57" s="201"/>
      <c r="D57" s="202"/>
      <c r="E57" s="143"/>
      <c r="F57" s="149"/>
      <c r="G57" s="149"/>
      <c r="H57" s="149"/>
      <c r="I57" s="149"/>
      <c r="J57" s="143"/>
      <c r="K57" s="197"/>
      <c r="L57" s="149"/>
      <c r="M57" s="149"/>
    </row>
    <row r="58" spans="1:13" s="144" customFormat="1">
      <c r="A58" s="344"/>
      <c r="B58" s="357"/>
      <c r="C58" s="201"/>
      <c r="D58" s="202"/>
      <c r="E58" s="143"/>
      <c r="F58" s="149"/>
      <c r="G58" s="149"/>
      <c r="H58" s="149"/>
      <c r="I58" s="149"/>
      <c r="J58" s="143"/>
      <c r="K58" s="197"/>
      <c r="L58" s="149"/>
      <c r="M58" s="149"/>
    </row>
    <row r="59" spans="1:13" s="144" customFormat="1">
      <c r="A59" s="344"/>
      <c r="B59" s="357"/>
      <c r="C59" s="201"/>
      <c r="D59" s="202"/>
      <c r="E59" s="143"/>
      <c r="F59" s="149"/>
      <c r="G59" s="149"/>
      <c r="H59" s="149"/>
      <c r="I59" s="149"/>
      <c r="J59" s="143"/>
      <c r="K59" s="197"/>
      <c r="L59" s="149"/>
      <c r="M59" s="149"/>
    </row>
    <row r="60" spans="1:13" s="144" customFormat="1">
      <c r="A60" s="344"/>
      <c r="B60" s="357"/>
      <c r="C60" s="201"/>
      <c r="D60" s="202"/>
      <c r="E60" s="143"/>
      <c r="F60" s="149"/>
      <c r="G60" s="149"/>
      <c r="H60" s="149"/>
      <c r="I60" s="149"/>
      <c r="J60" s="143"/>
      <c r="K60" s="197"/>
      <c r="L60" s="149"/>
      <c r="M60" s="149"/>
    </row>
    <row r="61" spans="1:13" s="144" customFormat="1">
      <c r="A61" s="344"/>
      <c r="B61" s="357"/>
      <c r="C61" s="201"/>
      <c r="D61" s="202"/>
      <c r="E61" s="143"/>
      <c r="F61" s="149"/>
      <c r="G61" s="149"/>
      <c r="H61" s="149"/>
      <c r="I61" s="149"/>
      <c r="J61" s="143"/>
      <c r="K61" s="197"/>
      <c r="L61" s="149"/>
      <c r="M61" s="149"/>
    </row>
    <row r="62" spans="1:13" s="144" customFormat="1">
      <c r="A62" s="344"/>
      <c r="B62" s="357"/>
      <c r="C62" s="201"/>
      <c r="D62" s="202"/>
      <c r="E62" s="143"/>
      <c r="F62" s="149"/>
      <c r="G62" s="149"/>
      <c r="H62" s="149"/>
      <c r="I62" s="149"/>
      <c r="J62" s="143"/>
      <c r="K62" s="197"/>
      <c r="L62" s="149"/>
      <c r="M62" s="149"/>
    </row>
    <row r="63" spans="1:13" s="144" customFormat="1">
      <c r="A63" s="344"/>
      <c r="B63" s="357"/>
      <c r="C63" s="201"/>
      <c r="D63" s="202"/>
      <c r="E63" s="149"/>
      <c r="F63" s="149"/>
      <c r="G63" s="149"/>
      <c r="H63" s="149"/>
      <c r="I63" s="149"/>
      <c r="J63" s="143"/>
      <c r="K63" s="197"/>
      <c r="L63" s="149"/>
      <c r="M63" s="149"/>
    </row>
    <row r="64" spans="1:13" s="144" customFormat="1">
      <c r="A64" s="344"/>
      <c r="B64" s="358"/>
      <c r="C64" s="201"/>
      <c r="D64" s="202"/>
      <c r="E64" s="143"/>
      <c r="F64" s="149"/>
      <c r="G64" s="149"/>
      <c r="H64" s="149"/>
      <c r="I64" s="149"/>
      <c r="J64" s="143"/>
      <c r="K64" s="197"/>
      <c r="L64" s="149"/>
      <c r="M64" s="149"/>
    </row>
    <row r="65" spans="1:13" s="144" customFormat="1">
      <c r="A65" s="344"/>
      <c r="B65" s="357" t="s">
        <v>214</v>
      </c>
      <c r="C65" s="200">
        <f>50000*6</f>
        <v>300000</v>
      </c>
      <c r="D65" s="199" t="s">
        <v>278</v>
      </c>
      <c r="E65" s="143"/>
      <c r="F65" s="149"/>
      <c r="G65" s="149"/>
      <c r="H65" s="149"/>
      <c r="I65" s="149"/>
      <c r="J65" s="143"/>
      <c r="K65" s="197"/>
      <c r="L65" s="149"/>
      <c r="M65" s="149"/>
    </row>
    <row r="66" spans="1:13" s="144" customFormat="1">
      <c r="A66" s="344"/>
      <c r="B66" s="357"/>
      <c r="C66" s="200">
        <v>25000</v>
      </c>
      <c r="D66" s="199" t="s">
        <v>279</v>
      </c>
      <c r="E66" s="143"/>
      <c r="F66" s="149"/>
      <c r="G66" s="149"/>
      <c r="H66" s="149"/>
      <c r="I66" s="149"/>
      <c r="J66" s="143"/>
      <c r="K66" s="197"/>
      <c r="L66" s="149"/>
      <c r="M66" s="149"/>
    </row>
    <row r="67" spans="1:13" s="144" customFormat="1">
      <c r="A67" s="344"/>
      <c r="B67" s="357"/>
      <c r="C67" s="201">
        <v>25000</v>
      </c>
      <c r="D67" s="202" t="s">
        <v>280</v>
      </c>
      <c r="E67" s="143"/>
      <c r="F67" s="149"/>
      <c r="G67" s="149"/>
      <c r="H67" s="149"/>
      <c r="I67" s="149"/>
      <c r="J67" s="143"/>
      <c r="K67" s="197"/>
      <c r="L67" s="149"/>
      <c r="M67" s="149"/>
    </row>
    <row r="68" spans="1:13" s="144" customFormat="1">
      <c r="A68" s="344"/>
      <c r="B68" s="357"/>
      <c r="C68" s="201">
        <v>25000</v>
      </c>
      <c r="D68" s="202" t="s">
        <v>283</v>
      </c>
      <c r="E68" s="143"/>
      <c r="F68" s="149"/>
      <c r="G68" s="149"/>
      <c r="H68" s="149"/>
      <c r="I68" s="149"/>
      <c r="J68" s="143"/>
      <c r="K68" s="197"/>
      <c r="L68" s="149"/>
      <c r="M68" s="149"/>
    </row>
    <row r="69" spans="1:13" s="144" customFormat="1">
      <c r="A69" s="344"/>
      <c r="B69" s="357"/>
      <c r="C69" s="201">
        <f>5*25000</f>
        <v>125000</v>
      </c>
      <c r="D69" s="202" t="s">
        <v>282</v>
      </c>
      <c r="E69" s="143"/>
      <c r="F69" s="149"/>
      <c r="G69" s="149"/>
      <c r="H69" s="149"/>
      <c r="I69" s="149"/>
      <c r="J69" s="143"/>
      <c r="K69" s="197"/>
      <c r="L69" s="149"/>
      <c r="M69" s="149"/>
    </row>
    <row r="70" spans="1:13" s="144" customFormat="1">
      <c r="A70" s="352"/>
      <c r="B70" s="358"/>
      <c r="C70" s="155">
        <v>25000</v>
      </c>
      <c r="D70" s="156" t="s">
        <v>281</v>
      </c>
      <c r="E70" s="143"/>
      <c r="F70" s="149"/>
      <c r="G70" s="149"/>
      <c r="H70" s="149"/>
      <c r="I70" s="149"/>
      <c r="J70" s="143"/>
      <c r="K70" s="197"/>
      <c r="L70" s="149"/>
      <c r="M70" s="149"/>
    </row>
    <row r="71" spans="1:13" s="144" customFormat="1">
      <c r="A71" s="198" t="s">
        <v>215</v>
      </c>
      <c r="B71" s="145"/>
      <c r="C71" s="203">
        <f>SUM(C35:C70)</f>
        <v>5303476.2064085342</v>
      </c>
      <c r="D71" s="36"/>
      <c r="E71" s="149"/>
      <c r="F71" s="149"/>
      <c r="G71" s="149"/>
      <c r="H71" s="149"/>
      <c r="I71" s="149"/>
      <c r="J71" s="143"/>
      <c r="K71" s="197"/>
      <c r="L71" s="149"/>
      <c r="M71" s="149"/>
    </row>
    <row r="72" spans="1:13" s="144" customFormat="1">
      <c r="A72" s="204" t="s">
        <v>216</v>
      </c>
      <c r="B72" s="205"/>
      <c r="C72" s="206">
        <f>C34+C71</f>
        <v>67436481.20640853</v>
      </c>
      <c r="D72" s="36"/>
      <c r="E72" s="149"/>
      <c r="F72" s="149"/>
      <c r="G72" s="149"/>
      <c r="H72" s="149"/>
      <c r="I72" s="149"/>
      <c r="J72" s="143"/>
      <c r="K72" s="197"/>
      <c r="L72" s="149"/>
      <c r="M72" s="149"/>
    </row>
    <row r="73" spans="1:13" s="144" customFormat="1">
      <c r="A73" s="207" t="s">
        <v>217</v>
      </c>
      <c r="B73" s="207"/>
      <c r="C73" s="208">
        <f>C2-C34</f>
        <v>17542995</v>
      </c>
      <c r="D73" s="156" t="s">
        <v>218</v>
      </c>
      <c r="E73" s="143"/>
      <c r="F73" s="149"/>
      <c r="G73" s="149"/>
      <c r="H73" s="149"/>
      <c r="I73" s="149"/>
      <c r="J73" s="143"/>
      <c r="K73" s="197"/>
      <c r="L73" s="149"/>
      <c r="M73" s="149"/>
    </row>
    <row r="74" spans="1:13" s="144" customFormat="1">
      <c r="A74" s="209" t="s">
        <v>219</v>
      </c>
      <c r="B74" s="209"/>
      <c r="C74" s="210">
        <f>C2-C72</f>
        <v>12239518.79359147</v>
      </c>
      <c r="D74" s="156" t="s">
        <v>220</v>
      </c>
      <c r="E74" s="149"/>
      <c r="F74" s="149"/>
      <c r="G74" s="149"/>
      <c r="H74" s="149"/>
      <c r="I74" s="149"/>
      <c r="J74" s="143"/>
      <c r="K74" s="197"/>
      <c r="L74" s="149"/>
      <c r="M74" s="149"/>
    </row>
    <row r="75" spans="1:13" s="144" customFormat="1">
      <c r="A75" s="211" t="s">
        <v>207</v>
      </c>
      <c r="B75" s="211"/>
      <c r="C75" s="212">
        <f>C34</f>
        <v>62133005</v>
      </c>
      <c r="D75" s="156"/>
      <c r="E75" s="149"/>
      <c r="F75" s="149"/>
      <c r="G75" s="149"/>
      <c r="H75" s="149"/>
      <c r="I75" s="149"/>
      <c r="J75" s="143"/>
      <c r="K75" s="197"/>
      <c r="L75" s="149"/>
      <c r="M75" s="149"/>
    </row>
    <row r="76" spans="1:13" s="144" customFormat="1">
      <c r="A76" s="214" t="s">
        <v>221</v>
      </c>
      <c r="B76" s="215"/>
      <c r="C76" s="216">
        <f>C74/C2</f>
        <v>0.15361613024739532</v>
      </c>
      <c r="D76" s="156"/>
      <c r="E76" s="149"/>
      <c r="J76" s="143"/>
      <c r="K76" s="197"/>
      <c r="L76" s="149"/>
      <c r="M76" s="149"/>
    </row>
    <row r="77" spans="1:13" s="144" customFormat="1">
      <c r="A77" s="214" t="s">
        <v>222</v>
      </c>
      <c r="B77" s="215"/>
      <c r="C77" s="216">
        <f>C73/C2</f>
        <v>0.22017916311059793</v>
      </c>
      <c r="D77" s="156"/>
      <c r="J77" s="143"/>
      <c r="K77" s="197"/>
      <c r="L77" s="149"/>
      <c r="M77" s="149"/>
    </row>
    <row r="78" spans="1:13" s="144" customFormat="1">
      <c r="A78" s="214" t="s">
        <v>223</v>
      </c>
      <c r="B78" s="215"/>
      <c r="C78" s="216">
        <f>C74/C75</f>
        <v>0.19698900437201564</v>
      </c>
      <c r="D78" s="156"/>
      <c r="J78" s="143"/>
      <c r="K78" s="197"/>
      <c r="L78" s="149"/>
      <c r="M78" s="149"/>
    </row>
    <row r="79" spans="1:13">
      <c r="A79" s="214" t="s">
        <v>224</v>
      </c>
      <c r="B79" s="215"/>
      <c r="C79" s="216">
        <f>C74/C73</f>
        <v>0.69768695673637648</v>
      </c>
      <c r="D79" s="156"/>
      <c r="F79" s="144"/>
      <c r="G79" s="144"/>
      <c r="H79" s="144"/>
      <c r="I79" s="144"/>
      <c r="J79" s="143"/>
      <c r="K79" s="197"/>
      <c r="L79" s="149"/>
      <c r="M79" s="149"/>
    </row>
    <row r="80" spans="1:13">
      <c r="A80" s="214" t="s">
        <v>179</v>
      </c>
      <c r="B80" s="215"/>
      <c r="C80" s="217">
        <f>C72/C73</f>
        <v>3.8440688837002193</v>
      </c>
      <c r="D80" s="156"/>
      <c r="F80" s="144"/>
      <c r="G80" s="144"/>
      <c r="H80" s="144"/>
      <c r="I80" s="144"/>
      <c r="J80" s="143"/>
      <c r="K80" s="197"/>
      <c r="L80" s="149"/>
      <c r="M80" s="149"/>
    </row>
    <row r="81" spans="1:13">
      <c r="A81" s="214" t="s">
        <v>225</v>
      </c>
      <c r="B81" s="218"/>
      <c r="C81" s="218">
        <f>C75/C2</f>
        <v>0.77982083688940207</v>
      </c>
      <c r="D81" s="9"/>
      <c r="F81" s="144"/>
      <c r="G81" s="144"/>
      <c r="H81" s="144"/>
      <c r="I81" s="144"/>
      <c r="J81" s="143"/>
      <c r="K81" s="197"/>
      <c r="L81" s="149"/>
      <c r="M81" s="149"/>
    </row>
    <row r="82" spans="1:13">
      <c r="A82" s="214" t="s">
        <v>226</v>
      </c>
      <c r="B82" s="218"/>
      <c r="C82" s="218">
        <f>C71/C2</f>
        <v>6.6563032863202642E-2</v>
      </c>
      <c r="D82" s="9"/>
      <c r="F82" s="144"/>
      <c r="G82" s="144"/>
      <c r="H82" s="144"/>
      <c r="I82" s="144"/>
      <c r="J82" s="149"/>
      <c r="K82" s="213"/>
      <c r="L82" s="149"/>
      <c r="M82" s="149"/>
    </row>
    <row r="83" spans="1:13">
      <c r="A83" s="214" t="s">
        <v>227</v>
      </c>
      <c r="B83" s="218"/>
      <c r="C83" s="218">
        <f>C72/C2</f>
        <v>0.84638386975260471</v>
      </c>
      <c r="D83" s="9"/>
      <c r="F83" s="144"/>
      <c r="G83" s="144"/>
      <c r="H83" s="144"/>
      <c r="I83" s="144"/>
      <c r="J83" s="149"/>
      <c r="K83" s="213"/>
      <c r="L83" s="149"/>
      <c r="M83" s="149"/>
    </row>
    <row r="84" spans="1:13">
      <c r="A84" s="214" t="s">
        <v>228</v>
      </c>
      <c r="B84" s="218"/>
      <c r="C84" s="218">
        <f>SUM(C35:C44)/C71</f>
        <v>0.67946503956994897</v>
      </c>
      <c r="D84" s="9"/>
      <c r="F84" s="144"/>
      <c r="G84" s="144"/>
      <c r="H84" s="144"/>
      <c r="I84" s="144"/>
      <c r="J84" s="149"/>
      <c r="K84" s="213"/>
      <c r="L84" s="149"/>
      <c r="M84" s="149"/>
    </row>
    <row r="85" spans="1:13">
      <c r="A85" s="214" t="s">
        <v>229</v>
      </c>
      <c r="B85" s="218"/>
      <c r="C85" s="218">
        <f>SUM(C46:C49)/C71</f>
        <v>3.4596885431291413E-2</v>
      </c>
      <c r="D85" s="9"/>
    </row>
    <row r="86" spans="1:13">
      <c r="A86" s="214" t="s">
        <v>230</v>
      </c>
      <c r="B86" s="218"/>
      <c r="C86" s="218">
        <f>SUM(C65:C70)/C71</f>
        <v>9.8991676320826796E-2</v>
      </c>
      <c r="D86" s="9"/>
    </row>
  </sheetData>
  <mergeCells count="11">
    <mergeCell ref="A28:A33"/>
    <mergeCell ref="A1:D1"/>
    <mergeCell ref="F1:M1"/>
    <mergeCell ref="A3:A5"/>
    <mergeCell ref="A7:A8"/>
    <mergeCell ref="A23:A27"/>
    <mergeCell ref="A35:A45"/>
    <mergeCell ref="A46:A70"/>
    <mergeCell ref="B46:B49"/>
    <mergeCell ref="B50:B64"/>
    <mergeCell ref="B65:B70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DB5AA-E842-4EAF-8E97-848A54DEE582}">
  <dimension ref="A1:CG19"/>
  <sheetViews>
    <sheetView topLeftCell="AS1" workbookViewId="0">
      <selection activeCell="G9" sqref="G9:J11"/>
    </sheetView>
  </sheetViews>
  <sheetFormatPr defaultRowHeight="14.5"/>
  <cols>
    <col min="4" max="4" width="19.36328125" customWidth="1"/>
    <col min="6" max="6" width="12.6328125" customWidth="1"/>
    <col min="7" max="7" width="13" customWidth="1"/>
    <col min="8" max="8" width="12.6328125" customWidth="1"/>
    <col min="9" max="9" width="15.81640625" customWidth="1"/>
    <col min="10" max="10" width="14" customWidth="1"/>
    <col min="13" max="13" width="12.453125" customWidth="1"/>
    <col min="47" max="47" width="10.26953125" customWidth="1"/>
    <col min="48" max="48" width="12.453125" customWidth="1"/>
    <col min="49" max="49" width="44.36328125" customWidth="1"/>
    <col min="50" max="50" width="21.1796875" customWidth="1"/>
    <col min="51" max="51" width="12.81640625" customWidth="1"/>
    <col min="52" max="52" width="11.453125" customWidth="1"/>
  </cols>
  <sheetData>
    <row r="1" spans="1:85">
      <c r="A1" s="219" t="s">
        <v>88</v>
      </c>
      <c r="B1" s="220" t="s">
        <v>8</v>
      </c>
      <c r="C1" s="220" t="s">
        <v>9</v>
      </c>
      <c r="D1" s="221" t="s">
        <v>89</v>
      </c>
      <c r="E1" s="220" t="s">
        <v>90</v>
      </c>
      <c r="F1" s="222" t="s">
        <v>231</v>
      </c>
      <c r="G1" s="220" t="s">
        <v>91</v>
      </c>
      <c r="H1" s="220" t="s">
        <v>92</v>
      </c>
      <c r="I1" s="223" t="s">
        <v>93</v>
      </c>
      <c r="J1" s="220" t="s">
        <v>133</v>
      </c>
      <c r="K1" s="220" t="s">
        <v>95</v>
      </c>
      <c r="L1" s="220" t="s">
        <v>96</v>
      </c>
      <c r="M1" s="224" t="s">
        <v>232</v>
      </c>
      <c r="N1" s="220" t="s">
        <v>98</v>
      </c>
      <c r="O1" s="220" t="s">
        <v>99</v>
      </c>
      <c r="P1" s="375" t="s">
        <v>100</v>
      </c>
      <c r="Q1" s="372"/>
      <c r="R1" s="372"/>
      <c r="S1" s="372"/>
      <c r="T1" s="373"/>
      <c r="U1" s="376" t="s">
        <v>20</v>
      </c>
      <c r="V1" s="372"/>
      <c r="W1" s="372"/>
      <c r="X1" s="372"/>
      <c r="Y1" s="373"/>
      <c r="Z1" s="377" t="s">
        <v>101</v>
      </c>
      <c r="AA1" s="372"/>
      <c r="AB1" s="373"/>
      <c r="AC1" s="378" t="s">
        <v>102</v>
      </c>
      <c r="AD1" s="372"/>
      <c r="AE1" s="373"/>
      <c r="AF1" s="379" t="s">
        <v>103</v>
      </c>
      <c r="AG1" s="372"/>
      <c r="AH1" s="373"/>
      <c r="AI1" s="380" t="s">
        <v>104</v>
      </c>
      <c r="AJ1" s="372"/>
      <c r="AK1" s="373"/>
      <c r="AL1" s="371" t="s">
        <v>105</v>
      </c>
      <c r="AM1" s="372"/>
      <c r="AN1" s="373"/>
      <c r="AO1" s="371" t="s">
        <v>106</v>
      </c>
      <c r="AP1" s="372"/>
      <c r="AQ1" s="373"/>
      <c r="AR1" s="371" t="s">
        <v>233</v>
      </c>
      <c r="AS1" s="372"/>
      <c r="AT1" s="373"/>
      <c r="AU1" s="220" t="s">
        <v>107</v>
      </c>
      <c r="AV1" s="220" t="s">
        <v>108</v>
      </c>
      <c r="AW1" s="225" t="s">
        <v>109</v>
      </c>
      <c r="AX1" s="226" t="s">
        <v>234</v>
      </c>
      <c r="AY1" s="220" t="s">
        <v>111</v>
      </c>
      <c r="AZ1" s="227" t="s">
        <v>235</v>
      </c>
      <c r="BA1" s="374" t="s">
        <v>136</v>
      </c>
    </row>
    <row r="2" spans="1:85">
      <c r="A2" s="228"/>
      <c r="B2" s="229"/>
      <c r="C2" s="229"/>
      <c r="D2" s="230"/>
      <c r="E2" s="229"/>
      <c r="F2" s="229"/>
      <c r="G2" s="231">
        <f>SUM(G4:G19)</f>
        <v>61200000</v>
      </c>
      <c r="H2" s="231">
        <f t="shared" ref="H2:AW2" si="0">SUM(H4:H19)</f>
        <v>57500000</v>
      </c>
      <c r="I2" s="231">
        <f t="shared" si="0"/>
        <v>57500000</v>
      </c>
      <c r="J2" s="231">
        <f t="shared" si="0"/>
        <v>0</v>
      </c>
      <c r="K2" s="231">
        <f t="shared" si="0"/>
        <v>480</v>
      </c>
      <c r="L2" s="231">
        <f t="shared" si="0"/>
        <v>480</v>
      </c>
      <c r="M2" s="231">
        <f t="shared" si="0"/>
        <v>36000</v>
      </c>
      <c r="N2" s="231">
        <f t="shared" si="0"/>
        <v>0</v>
      </c>
      <c r="O2" s="231">
        <f t="shared" si="0"/>
        <v>27</v>
      </c>
      <c r="P2" s="231">
        <f t="shared" si="0"/>
        <v>3098</v>
      </c>
      <c r="Q2" s="231">
        <f t="shared" si="0"/>
        <v>5752</v>
      </c>
      <c r="R2" s="231">
        <f t="shared" si="0"/>
        <v>3018</v>
      </c>
      <c r="S2" s="231">
        <f t="shared" si="0"/>
        <v>63500</v>
      </c>
      <c r="T2" s="231">
        <f t="shared" si="0"/>
        <v>11890000</v>
      </c>
      <c r="U2" s="231">
        <f t="shared" si="0"/>
        <v>0</v>
      </c>
      <c r="V2" s="231">
        <f t="shared" si="0"/>
        <v>0</v>
      </c>
      <c r="W2" s="231">
        <f t="shared" si="0"/>
        <v>27</v>
      </c>
      <c r="X2" s="231">
        <f t="shared" si="0"/>
        <v>1800000</v>
      </c>
      <c r="Y2" s="231">
        <f t="shared" si="0"/>
        <v>3240000</v>
      </c>
      <c r="Z2" s="231">
        <f t="shared" si="0"/>
        <v>0</v>
      </c>
      <c r="AA2" s="231">
        <f t="shared" si="0"/>
        <v>0</v>
      </c>
      <c r="AB2" s="231">
        <f t="shared" si="0"/>
        <v>0</v>
      </c>
      <c r="AC2" s="231">
        <f t="shared" si="0"/>
        <v>11</v>
      </c>
      <c r="AD2" s="231">
        <f t="shared" si="0"/>
        <v>1500000</v>
      </c>
      <c r="AE2" s="231">
        <f t="shared" si="0"/>
        <v>1100000</v>
      </c>
      <c r="AF2" s="231">
        <f t="shared" si="0"/>
        <v>26</v>
      </c>
      <c r="AG2" s="231">
        <f t="shared" si="0"/>
        <v>900000</v>
      </c>
      <c r="AH2" s="231">
        <f t="shared" si="0"/>
        <v>1560000</v>
      </c>
      <c r="AI2" s="231">
        <f t="shared" si="0"/>
        <v>4</v>
      </c>
      <c r="AJ2" s="231">
        <f t="shared" si="0"/>
        <v>850000</v>
      </c>
      <c r="AK2" s="231">
        <f t="shared" si="0"/>
        <v>850000</v>
      </c>
      <c r="AL2" s="231">
        <f t="shared" si="0"/>
        <v>0</v>
      </c>
      <c r="AM2" s="231">
        <f t="shared" si="0"/>
        <v>0</v>
      </c>
      <c r="AN2" s="231">
        <f t="shared" si="0"/>
        <v>0</v>
      </c>
      <c r="AO2" s="231">
        <f t="shared" si="0"/>
        <v>27</v>
      </c>
      <c r="AP2" s="231">
        <f t="shared" si="0"/>
        <v>1800000</v>
      </c>
      <c r="AQ2" s="231">
        <f t="shared" si="0"/>
        <v>3240000</v>
      </c>
      <c r="AR2" s="231">
        <f t="shared" si="0"/>
        <v>45</v>
      </c>
      <c r="AS2" s="231">
        <f t="shared" si="0"/>
        <v>8000</v>
      </c>
      <c r="AT2" s="231">
        <f t="shared" si="0"/>
        <v>180000</v>
      </c>
      <c r="AU2" s="231">
        <f>SUM(AU4:AU19)</f>
        <v>22060000</v>
      </c>
      <c r="AV2" s="231">
        <f>SUM(AV4:AV19)</f>
        <v>79596000</v>
      </c>
      <c r="AW2" s="231">
        <f t="shared" si="0"/>
        <v>0</v>
      </c>
      <c r="AX2" s="231">
        <f>SUM(AX4:AX19)</f>
        <v>79676000</v>
      </c>
      <c r="AY2" s="229"/>
      <c r="AZ2" s="232"/>
      <c r="BA2" s="374"/>
    </row>
    <row r="3" spans="1:85">
      <c r="A3" s="233"/>
      <c r="B3" s="233"/>
      <c r="C3" s="233"/>
      <c r="D3" s="234"/>
      <c r="E3" s="233"/>
      <c r="F3" s="233"/>
      <c r="G3" s="233"/>
      <c r="H3" s="233"/>
      <c r="I3" s="235"/>
      <c r="J3" s="233"/>
      <c r="K3" s="233"/>
      <c r="L3" s="233"/>
      <c r="M3" s="236" t="s">
        <v>236</v>
      </c>
      <c r="N3" s="233" t="s">
        <v>237</v>
      </c>
      <c r="O3" s="233"/>
      <c r="P3" s="237" t="s">
        <v>121</v>
      </c>
      <c r="Q3" s="237" t="s">
        <v>122</v>
      </c>
      <c r="R3" s="233" t="s">
        <v>123</v>
      </c>
      <c r="S3" s="233" t="s">
        <v>124</v>
      </c>
      <c r="T3" s="238" t="s">
        <v>125</v>
      </c>
      <c r="U3" s="237" t="s">
        <v>121</v>
      </c>
      <c r="V3" s="237" t="s">
        <v>126</v>
      </c>
      <c r="W3" s="233" t="s">
        <v>123</v>
      </c>
      <c r="X3" s="233" t="s">
        <v>124</v>
      </c>
      <c r="Y3" s="237" t="s">
        <v>125</v>
      </c>
      <c r="Z3" s="239" t="s">
        <v>123</v>
      </c>
      <c r="AA3" s="233" t="s">
        <v>124</v>
      </c>
      <c r="AB3" s="238" t="s">
        <v>125</v>
      </c>
      <c r="AC3" s="239" t="s">
        <v>123</v>
      </c>
      <c r="AD3" s="233" t="s">
        <v>124</v>
      </c>
      <c r="AE3" s="238" t="s">
        <v>125</v>
      </c>
      <c r="AF3" s="233" t="s">
        <v>123</v>
      </c>
      <c r="AG3" s="233" t="s">
        <v>124</v>
      </c>
      <c r="AH3" s="238" t="s">
        <v>125</v>
      </c>
      <c r="AI3" s="233" t="s">
        <v>123</v>
      </c>
      <c r="AJ3" s="233" t="s">
        <v>124</v>
      </c>
      <c r="AK3" s="238" t="s">
        <v>125</v>
      </c>
      <c r="AL3" s="233" t="s">
        <v>123</v>
      </c>
      <c r="AM3" s="233" t="s">
        <v>124</v>
      </c>
      <c r="AN3" s="238" t="s">
        <v>125</v>
      </c>
      <c r="AO3" s="233" t="s">
        <v>123</v>
      </c>
      <c r="AP3" s="233" t="s">
        <v>124</v>
      </c>
      <c r="AQ3" s="238" t="s">
        <v>125</v>
      </c>
      <c r="AR3" s="238" t="s">
        <v>123</v>
      </c>
      <c r="AS3" s="238" t="s">
        <v>124</v>
      </c>
      <c r="AT3" s="238" t="s">
        <v>125</v>
      </c>
      <c r="AU3" s="233"/>
      <c r="AV3" s="240"/>
      <c r="AW3" s="233"/>
      <c r="AX3" s="241"/>
      <c r="AY3" s="242">
        <f>AX3-AV3</f>
        <v>0</v>
      </c>
      <c r="AZ3" s="243"/>
      <c r="BA3" s="244"/>
    </row>
    <row r="4" spans="1:85" ht="19.5" customHeight="1">
      <c r="A4" s="246" t="s">
        <v>248</v>
      </c>
      <c r="B4" s="247" t="s">
        <v>144</v>
      </c>
      <c r="C4" s="248">
        <v>0</v>
      </c>
      <c r="D4" s="249" t="s">
        <v>238</v>
      </c>
      <c r="E4" s="248">
        <v>1</v>
      </c>
      <c r="F4" s="250"/>
      <c r="G4" s="250"/>
      <c r="H4" s="250"/>
      <c r="I4" s="250"/>
      <c r="J4" s="250"/>
      <c r="K4" s="248">
        <v>30</v>
      </c>
      <c r="L4" s="248">
        <v>30</v>
      </c>
      <c r="M4" s="252"/>
      <c r="N4" s="253"/>
      <c r="O4" s="254"/>
      <c r="P4" s="248"/>
      <c r="Q4" s="248"/>
      <c r="R4" s="248">
        <v>364</v>
      </c>
      <c r="S4" s="253">
        <v>3500</v>
      </c>
      <c r="T4" s="269">
        <f t="shared" ref="T4:T19" si="1">R4*S4</f>
        <v>1274000</v>
      </c>
      <c r="U4" s="248"/>
      <c r="V4" s="248"/>
      <c r="W4" s="254"/>
      <c r="X4" s="248"/>
      <c r="Y4" s="248"/>
      <c r="Z4" s="254"/>
      <c r="AA4" s="248"/>
      <c r="AB4" s="248"/>
      <c r="AC4" s="247"/>
      <c r="AD4" s="248"/>
      <c r="AE4" s="248"/>
      <c r="AF4" s="248"/>
      <c r="AG4" s="248"/>
      <c r="AH4" s="248"/>
      <c r="AI4" s="248"/>
      <c r="AJ4" s="248"/>
      <c r="AK4" s="248"/>
      <c r="AL4" s="254"/>
      <c r="AM4" s="248"/>
      <c r="AN4" s="255"/>
      <c r="AO4" s="248"/>
      <c r="AP4" s="248"/>
      <c r="AQ4" s="249"/>
      <c r="AR4" s="249"/>
      <c r="AS4" s="249"/>
      <c r="AT4" s="249"/>
      <c r="AU4" s="257">
        <f t="shared" ref="AU4:AU19" si="2">(SUM(T4,Y4,AB4,AE4,AH4,AK4,AN4,AQ4,AT4))</f>
        <v>1274000</v>
      </c>
      <c r="AV4" s="258">
        <f t="shared" ref="AV4:AV19" si="3">AU4+I4*E4+J4+M4+N4</f>
        <v>1274000</v>
      </c>
      <c r="AW4" s="248"/>
      <c r="AX4" s="259">
        <f>974000+300000</f>
        <v>1274000</v>
      </c>
      <c r="AY4" s="260" t="str">
        <f t="shared" ref="AY4:AY19" si="4">IF(AND(AV4&gt;0,AX4=0),"Chưa TT",IF(AX4-AV4&gt;0,"Thừa",IF(AND(AV4=0,AX4=0),"Trống",IF(AND(AX4&gt;0,AV4=0),"Đóng cọc",IF(AX4-AV4&lt;0,"Thiếu",IF(AX4-AV4=0,"Đủ",0))))))</f>
        <v>Đủ</v>
      </c>
      <c r="AZ4" s="261">
        <f t="shared" ref="AZ4:AZ19" si="5">AX4-AV4</f>
        <v>0</v>
      </c>
      <c r="BA4" s="262"/>
      <c r="BB4" s="253"/>
      <c r="BC4" s="248"/>
      <c r="BD4" s="248"/>
      <c r="BE4" s="248"/>
      <c r="BF4" s="248"/>
      <c r="BG4" s="248"/>
      <c r="BH4" s="248"/>
      <c r="BI4" s="248"/>
      <c r="BJ4" s="248"/>
      <c r="BK4" s="248"/>
      <c r="BL4" s="253"/>
      <c r="BM4" s="248"/>
      <c r="BN4" s="248"/>
      <c r="BO4" s="248"/>
      <c r="BP4" s="248"/>
      <c r="BQ4" s="248"/>
      <c r="BR4" s="248"/>
      <c r="BS4" s="263"/>
      <c r="BT4" s="248"/>
      <c r="BU4" s="263"/>
      <c r="BV4" s="248"/>
      <c r="BW4" s="248"/>
      <c r="BX4" s="248"/>
      <c r="BY4" s="248"/>
      <c r="BZ4" s="248"/>
      <c r="CA4" s="248"/>
      <c r="CB4" s="248"/>
      <c r="CC4" s="248"/>
      <c r="CD4" s="248"/>
      <c r="CE4" s="248"/>
      <c r="CF4" s="248"/>
      <c r="CG4" s="248"/>
    </row>
    <row r="5" spans="1:85" ht="19.5" customHeight="1">
      <c r="A5" s="264" t="s">
        <v>37</v>
      </c>
      <c r="B5" s="264" t="s">
        <v>144</v>
      </c>
      <c r="C5" s="249">
        <v>101</v>
      </c>
      <c r="D5" s="249" t="s">
        <v>238</v>
      </c>
      <c r="E5" s="249">
        <v>1</v>
      </c>
      <c r="F5" s="265">
        <v>3500000</v>
      </c>
      <c r="G5" s="266">
        <v>3600000</v>
      </c>
      <c r="H5" s="265">
        <v>3500000</v>
      </c>
      <c r="I5" s="265">
        <v>3500000</v>
      </c>
      <c r="J5" s="265"/>
      <c r="K5" s="249">
        <v>30</v>
      </c>
      <c r="L5" s="249">
        <v>30</v>
      </c>
      <c r="M5" s="268"/>
      <c r="N5" s="269"/>
      <c r="O5" s="270">
        <v>1</v>
      </c>
      <c r="P5" s="249">
        <v>196</v>
      </c>
      <c r="Q5" s="249">
        <v>356</v>
      </c>
      <c r="R5" s="249">
        <f t="shared" ref="R5:R19" si="6">Q5-P5</f>
        <v>160</v>
      </c>
      <c r="S5" s="269">
        <v>4000</v>
      </c>
      <c r="T5" s="269">
        <f t="shared" si="1"/>
        <v>640000</v>
      </c>
      <c r="U5" s="249"/>
      <c r="V5" s="249"/>
      <c r="W5" s="270">
        <v>1</v>
      </c>
      <c r="X5" s="249">
        <v>120000</v>
      </c>
      <c r="Y5" s="249">
        <f t="shared" ref="Y5:Y19" si="7">W5*X5</f>
        <v>120000</v>
      </c>
      <c r="Z5" s="270"/>
      <c r="AA5" s="249"/>
      <c r="AB5" s="249"/>
      <c r="AC5" s="264">
        <v>1</v>
      </c>
      <c r="AD5" s="249">
        <v>100000</v>
      </c>
      <c r="AE5" s="249">
        <f t="shared" ref="AE5:AE19" si="8">AC5*AD5</f>
        <v>100000</v>
      </c>
      <c r="AF5" s="249">
        <v>1</v>
      </c>
      <c r="AG5" s="249">
        <v>60000</v>
      </c>
      <c r="AH5" s="249">
        <f t="shared" ref="AH5:AH19" si="9">AF5*AG5</f>
        <v>60000</v>
      </c>
      <c r="AI5" s="249"/>
      <c r="AJ5" s="249"/>
      <c r="AK5" s="249"/>
      <c r="AL5" s="270"/>
      <c r="AM5" s="249"/>
      <c r="AN5" s="271"/>
      <c r="AO5" s="249">
        <v>1</v>
      </c>
      <c r="AP5" s="249">
        <v>120000</v>
      </c>
      <c r="AQ5" s="249">
        <f t="shared" ref="AQ5:AQ19" si="10">AO5*AP5</f>
        <v>120000</v>
      </c>
      <c r="AR5" s="248"/>
      <c r="AS5" s="248"/>
      <c r="AT5" s="248">
        <f t="shared" ref="AT5:AT19" si="11">AR5*AS5</f>
        <v>0</v>
      </c>
      <c r="AU5" s="257">
        <f t="shared" si="2"/>
        <v>1040000</v>
      </c>
      <c r="AV5" s="258">
        <f t="shared" si="3"/>
        <v>4540000</v>
      </c>
      <c r="AW5" s="249"/>
      <c r="AX5" s="245">
        <v>4540000</v>
      </c>
      <c r="AY5" s="260" t="str">
        <f t="shared" si="4"/>
        <v>Đủ</v>
      </c>
      <c r="AZ5" s="261">
        <f t="shared" si="5"/>
        <v>0</v>
      </c>
      <c r="BA5" s="272"/>
      <c r="BB5" s="269"/>
      <c r="BC5" s="249"/>
      <c r="BD5" s="249"/>
      <c r="BE5" s="249"/>
      <c r="BF5" s="249"/>
      <c r="BG5" s="249"/>
      <c r="BH5" s="249"/>
      <c r="BI5" s="249"/>
      <c r="BJ5" s="249"/>
      <c r="BK5" s="249"/>
      <c r="BL5" s="269"/>
      <c r="BM5" s="249"/>
      <c r="BN5" s="249"/>
      <c r="BO5" s="249"/>
      <c r="BP5" s="249"/>
      <c r="BQ5" s="249"/>
      <c r="BR5" s="249"/>
      <c r="BS5" s="273"/>
      <c r="BT5" s="249"/>
      <c r="BU5" s="273"/>
      <c r="BV5" s="249"/>
      <c r="BW5" s="249"/>
      <c r="BX5" s="249"/>
      <c r="BY5" s="249"/>
      <c r="BZ5" s="249"/>
      <c r="CA5" s="249"/>
      <c r="CB5" s="249"/>
      <c r="CC5" s="249"/>
      <c r="CD5" s="249"/>
      <c r="CE5" s="249"/>
      <c r="CF5" s="249"/>
      <c r="CG5" s="249"/>
    </row>
    <row r="6" spans="1:85" ht="17.25" customHeight="1">
      <c r="A6" s="264" t="s">
        <v>38</v>
      </c>
      <c r="B6" s="264" t="s">
        <v>144</v>
      </c>
      <c r="C6" s="249">
        <v>201</v>
      </c>
      <c r="D6" s="249" t="s">
        <v>238</v>
      </c>
      <c r="E6" s="249">
        <v>1</v>
      </c>
      <c r="F6" s="269">
        <v>4100000</v>
      </c>
      <c r="G6" s="266">
        <v>4200000</v>
      </c>
      <c r="H6" s="269">
        <v>4100000</v>
      </c>
      <c r="I6" s="269">
        <v>4100000</v>
      </c>
      <c r="J6" s="269"/>
      <c r="K6" s="249">
        <v>30</v>
      </c>
      <c r="L6" s="249">
        <v>30</v>
      </c>
      <c r="M6" s="268"/>
      <c r="N6" s="269"/>
      <c r="O6" s="264">
        <v>2</v>
      </c>
      <c r="P6" s="249">
        <v>130</v>
      </c>
      <c r="Q6" s="249">
        <v>267</v>
      </c>
      <c r="R6" s="249">
        <f t="shared" si="6"/>
        <v>137</v>
      </c>
      <c r="S6" s="269">
        <v>4000</v>
      </c>
      <c r="T6" s="269">
        <f t="shared" si="1"/>
        <v>548000</v>
      </c>
      <c r="U6" s="249"/>
      <c r="V6" s="249"/>
      <c r="W6" s="270">
        <v>2</v>
      </c>
      <c r="X6" s="249">
        <v>120000</v>
      </c>
      <c r="Y6" s="249">
        <f t="shared" si="7"/>
        <v>240000</v>
      </c>
      <c r="Z6" s="264"/>
      <c r="AA6" s="249"/>
      <c r="AB6" s="249"/>
      <c r="AC6" s="249">
        <v>1</v>
      </c>
      <c r="AD6" s="249">
        <v>100000</v>
      </c>
      <c r="AE6" s="249">
        <f t="shared" si="8"/>
        <v>100000</v>
      </c>
      <c r="AF6" s="249">
        <v>2</v>
      </c>
      <c r="AG6" s="249">
        <v>60000</v>
      </c>
      <c r="AH6" s="249">
        <f t="shared" si="9"/>
        <v>120000</v>
      </c>
      <c r="AI6" s="249">
        <v>1</v>
      </c>
      <c r="AJ6" s="249">
        <v>150000</v>
      </c>
      <c r="AK6" s="249">
        <f>AI6*AJ6</f>
        <v>150000</v>
      </c>
      <c r="AL6" s="264"/>
      <c r="AM6" s="249"/>
      <c r="AN6" s="271"/>
      <c r="AO6" s="249">
        <v>2</v>
      </c>
      <c r="AP6" s="249">
        <v>120000</v>
      </c>
      <c r="AQ6" s="269">
        <f t="shared" si="10"/>
        <v>240000</v>
      </c>
      <c r="AR6" s="253"/>
      <c r="AS6" s="253"/>
      <c r="AT6" s="248">
        <f t="shared" si="11"/>
        <v>0</v>
      </c>
      <c r="AU6" s="257">
        <f t="shared" si="2"/>
        <v>1398000</v>
      </c>
      <c r="AV6" s="258">
        <f t="shared" si="3"/>
        <v>5498000</v>
      </c>
      <c r="AW6" s="249"/>
      <c r="AX6" s="245">
        <v>5498000</v>
      </c>
      <c r="AY6" s="260" t="str">
        <f t="shared" si="4"/>
        <v>Đủ</v>
      </c>
      <c r="AZ6" s="261">
        <f t="shared" si="5"/>
        <v>0</v>
      </c>
      <c r="BA6" s="272"/>
      <c r="BB6" s="269"/>
      <c r="BC6" s="249"/>
      <c r="BD6" s="249"/>
      <c r="BE6" s="249"/>
      <c r="BF6" s="249"/>
      <c r="BG6" s="249"/>
      <c r="BH6" s="249"/>
      <c r="BI6" s="249"/>
      <c r="BJ6" s="249"/>
      <c r="BK6" s="249"/>
      <c r="BL6" s="269"/>
      <c r="BM6" s="249"/>
      <c r="BN6" s="249"/>
      <c r="BO6" s="249"/>
      <c r="BP6" s="249"/>
      <c r="BQ6" s="249"/>
      <c r="BR6" s="249"/>
      <c r="BS6" s="273"/>
      <c r="BT6" s="249"/>
      <c r="BU6" s="273"/>
      <c r="BV6" s="249"/>
      <c r="BW6" s="249"/>
      <c r="BX6" s="249"/>
      <c r="BY6" s="249"/>
      <c r="BZ6" s="249"/>
      <c r="CA6" s="249">
        <v>1935</v>
      </c>
      <c r="CB6" s="249">
        <v>1967</v>
      </c>
      <c r="CC6" s="249">
        <f>CB6-CA6</f>
        <v>32</v>
      </c>
      <c r="CD6" s="249">
        <v>3800</v>
      </c>
      <c r="CE6" s="249">
        <f>CC6*CD6</f>
        <v>121600</v>
      </c>
      <c r="CF6" s="249"/>
      <c r="CG6" s="249">
        <f>CE6/3</f>
        <v>40533.333333333336</v>
      </c>
    </row>
    <row r="7" spans="1:85" ht="17.25" customHeight="1">
      <c r="A7" s="264" t="s">
        <v>39</v>
      </c>
      <c r="B7" s="264" t="s">
        <v>144</v>
      </c>
      <c r="C7" s="249">
        <v>202</v>
      </c>
      <c r="D7" s="249" t="s">
        <v>238</v>
      </c>
      <c r="E7" s="249">
        <v>1</v>
      </c>
      <c r="F7" s="269">
        <v>3800000</v>
      </c>
      <c r="G7" s="266">
        <v>4000000</v>
      </c>
      <c r="H7" s="269">
        <v>3800000</v>
      </c>
      <c r="I7" s="269">
        <v>3800000</v>
      </c>
      <c r="J7" s="269"/>
      <c r="K7" s="249">
        <v>30</v>
      </c>
      <c r="L7" s="249">
        <v>30</v>
      </c>
      <c r="M7" s="268"/>
      <c r="N7" s="269"/>
      <c r="O7" s="264">
        <v>2</v>
      </c>
      <c r="P7" s="249">
        <v>373</v>
      </c>
      <c r="Q7" s="249">
        <v>732</v>
      </c>
      <c r="R7" s="249">
        <f t="shared" si="6"/>
        <v>359</v>
      </c>
      <c r="S7" s="269">
        <v>4000</v>
      </c>
      <c r="T7" s="269">
        <f t="shared" si="1"/>
        <v>1436000</v>
      </c>
      <c r="U7" s="249"/>
      <c r="V7" s="249"/>
      <c r="W7" s="270">
        <v>2</v>
      </c>
      <c r="X7" s="249">
        <v>120000</v>
      </c>
      <c r="Y7" s="249">
        <f t="shared" si="7"/>
        <v>240000</v>
      </c>
      <c r="Z7" s="264"/>
      <c r="AA7" s="249"/>
      <c r="AB7" s="249"/>
      <c r="AC7" s="249">
        <v>1</v>
      </c>
      <c r="AD7" s="249">
        <v>100000</v>
      </c>
      <c r="AE7" s="249">
        <f t="shared" si="8"/>
        <v>100000</v>
      </c>
      <c r="AF7" s="249">
        <v>2</v>
      </c>
      <c r="AG7" s="249">
        <v>60000</v>
      </c>
      <c r="AH7" s="249">
        <f t="shared" si="9"/>
        <v>120000</v>
      </c>
      <c r="AI7" s="249"/>
      <c r="AJ7" s="249"/>
      <c r="AK7" s="249"/>
      <c r="AL7" s="264"/>
      <c r="AM7" s="249"/>
      <c r="AN7" s="271">
        <f>AL7*AM7</f>
        <v>0</v>
      </c>
      <c r="AO7" s="249">
        <v>2</v>
      </c>
      <c r="AP7" s="249">
        <v>120000</v>
      </c>
      <c r="AQ7" s="269">
        <f t="shared" si="10"/>
        <v>240000</v>
      </c>
      <c r="AR7" s="253"/>
      <c r="AS7" s="253"/>
      <c r="AT7" s="248">
        <f t="shared" si="11"/>
        <v>0</v>
      </c>
      <c r="AU7" s="257">
        <f t="shared" si="2"/>
        <v>2136000</v>
      </c>
      <c r="AV7" s="258">
        <f t="shared" si="3"/>
        <v>5936000</v>
      </c>
      <c r="AW7" s="249"/>
      <c r="AX7" s="245">
        <v>5936000</v>
      </c>
      <c r="AY7" s="260" t="str">
        <f t="shared" si="4"/>
        <v>Đủ</v>
      </c>
      <c r="AZ7" s="261">
        <f t="shared" si="5"/>
        <v>0</v>
      </c>
      <c r="BA7" s="272"/>
      <c r="BB7" s="269"/>
      <c r="BC7" s="249"/>
      <c r="BD7" s="249"/>
      <c r="BE7" s="249"/>
      <c r="BF7" s="249"/>
      <c r="BG7" s="249"/>
      <c r="BH7" s="249"/>
      <c r="BI7" s="249"/>
      <c r="BJ7" s="249"/>
      <c r="BK7" s="249"/>
      <c r="BL7" s="269"/>
      <c r="BM7" s="249"/>
      <c r="BN7" s="249"/>
      <c r="BO7" s="249"/>
      <c r="BP7" s="249"/>
      <c r="BQ7" s="249"/>
      <c r="BR7" s="249"/>
      <c r="BS7" s="273"/>
      <c r="BT7" s="249"/>
      <c r="BU7" s="273"/>
      <c r="BV7" s="249"/>
      <c r="BW7" s="249"/>
      <c r="BX7" s="249"/>
      <c r="BY7" s="249"/>
      <c r="BZ7" s="249"/>
      <c r="CA7" s="249">
        <v>1935</v>
      </c>
      <c r="CB7" s="249">
        <v>1967</v>
      </c>
      <c r="CC7" s="249">
        <f>CB7-CA7</f>
        <v>32</v>
      </c>
      <c r="CD7" s="249">
        <v>3800</v>
      </c>
      <c r="CE7" s="249">
        <f>CC7*CD7</f>
        <v>121600</v>
      </c>
      <c r="CF7" s="249"/>
      <c r="CG7" s="249">
        <f>CE7/3</f>
        <v>40533.333333333336</v>
      </c>
    </row>
    <row r="8" spans="1:85" ht="18" customHeight="1">
      <c r="A8" s="264" t="s">
        <v>40</v>
      </c>
      <c r="B8" s="264" t="s">
        <v>144</v>
      </c>
      <c r="C8" s="249">
        <v>203</v>
      </c>
      <c r="D8" s="249" t="s">
        <v>238</v>
      </c>
      <c r="E8" s="249">
        <v>1</v>
      </c>
      <c r="F8" s="269">
        <v>3800000</v>
      </c>
      <c r="G8" s="266">
        <v>4300000</v>
      </c>
      <c r="H8" s="269">
        <v>3800000</v>
      </c>
      <c r="I8" s="269">
        <v>3800000</v>
      </c>
      <c r="J8" s="269"/>
      <c r="K8" s="249">
        <v>30</v>
      </c>
      <c r="L8" s="249">
        <v>30</v>
      </c>
      <c r="M8" s="268"/>
      <c r="N8" s="269"/>
      <c r="O8" s="264">
        <v>1</v>
      </c>
      <c r="P8" s="249">
        <v>33</v>
      </c>
      <c r="Q8" s="249">
        <v>85</v>
      </c>
      <c r="R8" s="249">
        <f t="shared" si="6"/>
        <v>52</v>
      </c>
      <c r="S8" s="269">
        <v>4000</v>
      </c>
      <c r="T8" s="269">
        <f t="shared" si="1"/>
        <v>208000</v>
      </c>
      <c r="U8" s="249"/>
      <c r="V8" s="249"/>
      <c r="W8" s="270">
        <v>1</v>
      </c>
      <c r="X8" s="249">
        <v>120000</v>
      </c>
      <c r="Y8" s="249">
        <f t="shared" si="7"/>
        <v>120000</v>
      </c>
      <c r="Z8" s="264"/>
      <c r="AA8" s="249"/>
      <c r="AB8" s="249"/>
      <c r="AC8" s="249"/>
      <c r="AD8" s="249">
        <v>100000</v>
      </c>
      <c r="AE8" s="249">
        <f t="shared" si="8"/>
        <v>0</v>
      </c>
      <c r="AF8" s="249"/>
      <c r="AG8" s="249">
        <v>60000</v>
      </c>
      <c r="AH8" s="249">
        <f t="shared" si="9"/>
        <v>0</v>
      </c>
      <c r="AI8" s="249"/>
      <c r="AJ8" s="249"/>
      <c r="AK8" s="249"/>
      <c r="AL8" s="264"/>
      <c r="AM8" s="249"/>
      <c r="AN8" s="271"/>
      <c r="AO8" s="249">
        <v>1</v>
      </c>
      <c r="AP8" s="249">
        <v>120000</v>
      </c>
      <c r="AQ8" s="269">
        <f t="shared" si="10"/>
        <v>120000</v>
      </c>
      <c r="AR8" s="253"/>
      <c r="AS8" s="253"/>
      <c r="AT8" s="248">
        <f t="shared" si="11"/>
        <v>0</v>
      </c>
      <c r="AU8" s="257">
        <f t="shared" si="2"/>
        <v>448000</v>
      </c>
      <c r="AV8" s="258">
        <f t="shared" si="3"/>
        <v>4248000</v>
      </c>
      <c r="AW8" s="249"/>
      <c r="AX8" s="245">
        <v>4248000</v>
      </c>
      <c r="AY8" s="260" t="str">
        <f t="shared" si="4"/>
        <v>Đủ</v>
      </c>
      <c r="AZ8" s="261">
        <f t="shared" si="5"/>
        <v>0</v>
      </c>
      <c r="BA8" s="272"/>
      <c r="BB8" s="269"/>
      <c r="BC8" s="249"/>
      <c r="BD8" s="249"/>
      <c r="BE8" s="249"/>
      <c r="BF8" s="249"/>
      <c r="BG8" s="249"/>
      <c r="BH8" s="249"/>
      <c r="BI8" s="249"/>
      <c r="BJ8" s="249"/>
      <c r="BK8" s="249"/>
      <c r="BL8" s="269"/>
      <c r="BM8" s="249"/>
      <c r="BN8" s="249"/>
      <c r="BO8" s="249"/>
      <c r="BP8" s="249"/>
      <c r="BQ8" s="249"/>
      <c r="BR8" s="249"/>
      <c r="BS8" s="273"/>
      <c r="BT8" s="249"/>
      <c r="BU8" s="273"/>
      <c r="BV8" s="249"/>
      <c r="BW8" s="249"/>
      <c r="BX8" s="249"/>
      <c r="BY8" s="249"/>
      <c r="BZ8" s="249"/>
      <c r="CA8" s="249">
        <v>144</v>
      </c>
      <c r="CB8" s="249">
        <v>209</v>
      </c>
      <c r="CC8" s="249">
        <f>CB8-CA8</f>
        <v>65</v>
      </c>
      <c r="CD8" s="249">
        <v>3800</v>
      </c>
      <c r="CE8" s="249">
        <f>CC8*CD8</f>
        <v>247000</v>
      </c>
      <c r="CF8" s="249"/>
      <c r="CG8" s="249">
        <f>CE8/3</f>
        <v>82333.333333333328</v>
      </c>
    </row>
    <row r="9" spans="1:85" ht="17.25" customHeight="1">
      <c r="A9" s="264" t="s">
        <v>41</v>
      </c>
      <c r="B9" s="264" t="s">
        <v>144</v>
      </c>
      <c r="C9" s="249">
        <v>301</v>
      </c>
      <c r="D9" s="249" t="s">
        <v>238</v>
      </c>
      <c r="E9" s="249">
        <v>1</v>
      </c>
      <c r="F9" s="269">
        <v>3900000</v>
      </c>
      <c r="G9" s="266">
        <v>4200000</v>
      </c>
      <c r="H9" s="269">
        <v>3900000</v>
      </c>
      <c r="I9" s="269">
        <v>3900000</v>
      </c>
      <c r="J9" s="269"/>
      <c r="K9" s="249">
        <v>30</v>
      </c>
      <c r="L9" s="249">
        <v>30</v>
      </c>
      <c r="M9" s="268"/>
      <c r="N9" s="269"/>
      <c r="O9" s="264">
        <v>1</v>
      </c>
      <c r="P9" s="249">
        <v>113</v>
      </c>
      <c r="Q9" s="249">
        <v>245</v>
      </c>
      <c r="R9" s="249">
        <f t="shared" si="6"/>
        <v>132</v>
      </c>
      <c r="S9" s="269">
        <v>4000</v>
      </c>
      <c r="T9" s="269">
        <f t="shared" si="1"/>
        <v>528000</v>
      </c>
      <c r="U9" s="249"/>
      <c r="V9" s="249"/>
      <c r="W9" s="270">
        <v>1</v>
      </c>
      <c r="X9" s="249">
        <v>120000</v>
      </c>
      <c r="Y9" s="249">
        <f t="shared" si="7"/>
        <v>120000</v>
      </c>
      <c r="Z9" s="264"/>
      <c r="AA9" s="249"/>
      <c r="AB9" s="249"/>
      <c r="AC9" s="249">
        <v>1</v>
      </c>
      <c r="AD9" s="249">
        <v>100000</v>
      </c>
      <c r="AE9" s="249">
        <f t="shared" si="8"/>
        <v>100000</v>
      </c>
      <c r="AF9" s="249">
        <v>1</v>
      </c>
      <c r="AG9" s="249">
        <v>60000</v>
      </c>
      <c r="AH9" s="249">
        <f t="shared" si="9"/>
        <v>60000</v>
      </c>
      <c r="AI9" s="249">
        <v>1</v>
      </c>
      <c r="AJ9" s="249">
        <v>150000</v>
      </c>
      <c r="AK9" s="249">
        <f>AI9*AJ9</f>
        <v>150000</v>
      </c>
      <c r="AL9" s="264"/>
      <c r="AM9" s="249"/>
      <c r="AN9" s="271"/>
      <c r="AO9" s="249">
        <v>1</v>
      </c>
      <c r="AP9" s="249">
        <v>120000</v>
      </c>
      <c r="AQ9" s="269">
        <f t="shared" si="10"/>
        <v>120000</v>
      </c>
      <c r="AR9" s="253"/>
      <c r="AS9" s="253"/>
      <c r="AT9" s="248">
        <f t="shared" si="11"/>
        <v>0</v>
      </c>
      <c r="AU9" s="257">
        <f t="shared" si="2"/>
        <v>1078000</v>
      </c>
      <c r="AV9" s="258">
        <f t="shared" si="3"/>
        <v>4978000</v>
      </c>
      <c r="AW9" s="249"/>
      <c r="AX9" s="245">
        <v>4978000</v>
      </c>
      <c r="AY9" s="260" t="str">
        <f t="shared" si="4"/>
        <v>Đủ</v>
      </c>
      <c r="AZ9" s="261">
        <f t="shared" si="5"/>
        <v>0</v>
      </c>
      <c r="BA9" s="272"/>
      <c r="BB9" s="269"/>
      <c r="BC9" s="249"/>
      <c r="BD9" s="249"/>
      <c r="BE9" s="249"/>
      <c r="BF9" s="249"/>
      <c r="BG9" s="249"/>
      <c r="BH9" s="249"/>
      <c r="BI9" s="249"/>
      <c r="BJ9" s="249"/>
      <c r="BK9" s="249"/>
      <c r="BL9" s="269"/>
      <c r="BM9" s="249"/>
      <c r="BN9" s="249"/>
      <c r="BO9" s="249"/>
      <c r="BP9" s="249"/>
      <c r="BQ9" s="249"/>
      <c r="BR9" s="249"/>
      <c r="BS9" s="273"/>
      <c r="BT9" s="249"/>
      <c r="BU9" s="273"/>
      <c r="BV9" s="249"/>
      <c r="BW9" s="249"/>
      <c r="BX9" s="249"/>
      <c r="BY9" s="249"/>
      <c r="BZ9" s="249"/>
      <c r="CA9" s="249">
        <v>144</v>
      </c>
      <c r="CB9" s="249">
        <v>209</v>
      </c>
      <c r="CC9" s="249">
        <f>CB9-CA9</f>
        <v>65</v>
      </c>
      <c r="CD9" s="249">
        <v>3800</v>
      </c>
      <c r="CE9" s="249">
        <f>CC9*CD9</f>
        <v>247000</v>
      </c>
      <c r="CF9" s="249"/>
      <c r="CG9" s="249">
        <f>CE9/3</f>
        <v>82333.333333333328</v>
      </c>
    </row>
    <row r="10" spans="1:85" ht="15.75" customHeight="1">
      <c r="A10" s="264" t="s">
        <v>42</v>
      </c>
      <c r="B10" s="264" t="s">
        <v>144</v>
      </c>
      <c r="C10" s="249">
        <v>302</v>
      </c>
      <c r="D10" s="249" t="s">
        <v>238</v>
      </c>
      <c r="E10" s="249">
        <v>1</v>
      </c>
      <c r="F10" s="265">
        <v>3800000</v>
      </c>
      <c r="G10" s="266">
        <v>4000000</v>
      </c>
      <c r="H10" s="265">
        <v>3800000</v>
      </c>
      <c r="I10" s="265">
        <v>3800000</v>
      </c>
      <c r="J10" s="267"/>
      <c r="K10" s="249">
        <v>30</v>
      </c>
      <c r="L10" s="249">
        <v>30</v>
      </c>
      <c r="M10" s="268"/>
      <c r="N10" s="269"/>
      <c r="O10" s="264">
        <v>2</v>
      </c>
      <c r="P10" s="249">
        <v>163</v>
      </c>
      <c r="Q10" s="249">
        <v>199</v>
      </c>
      <c r="R10" s="249">
        <f t="shared" si="6"/>
        <v>36</v>
      </c>
      <c r="S10" s="269">
        <v>4000</v>
      </c>
      <c r="T10" s="269">
        <f t="shared" si="1"/>
        <v>144000</v>
      </c>
      <c r="U10" s="249"/>
      <c r="V10" s="249"/>
      <c r="W10" s="270">
        <v>2</v>
      </c>
      <c r="X10" s="249">
        <v>120000</v>
      </c>
      <c r="Y10" s="249">
        <f t="shared" si="7"/>
        <v>240000</v>
      </c>
      <c r="Z10" s="264"/>
      <c r="AA10" s="249"/>
      <c r="AB10" s="249"/>
      <c r="AC10" s="249">
        <v>1</v>
      </c>
      <c r="AD10" s="249">
        <v>100000</v>
      </c>
      <c r="AE10" s="249">
        <f t="shared" si="8"/>
        <v>100000</v>
      </c>
      <c r="AF10" s="249">
        <v>2</v>
      </c>
      <c r="AG10" s="249">
        <v>60000</v>
      </c>
      <c r="AH10" s="249">
        <f t="shared" si="9"/>
        <v>120000</v>
      </c>
      <c r="AI10" s="249">
        <v>1</v>
      </c>
      <c r="AJ10" s="249">
        <v>150000</v>
      </c>
      <c r="AK10" s="249">
        <f>AI10*AJ10</f>
        <v>150000</v>
      </c>
      <c r="AL10" s="264"/>
      <c r="AM10" s="249"/>
      <c r="AN10" s="271"/>
      <c r="AO10" s="249">
        <v>2</v>
      </c>
      <c r="AP10" s="249">
        <v>120000</v>
      </c>
      <c r="AQ10" s="269">
        <f t="shared" si="10"/>
        <v>240000</v>
      </c>
      <c r="AR10" s="253"/>
      <c r="AS10" s="253"/>
      <c r="AT10" s="248">
        <f t="shared" si="11"/>
        <v>0</v>
      </c>
      <c r="AU10" s="257">
        <f t="shared" si="2"/>
        <v>994000</v>
      </c>
      <c r="AV10" s="258">
        <f t="shared" si="3"/>
        <v>4794000</v>
      </c>
      <c r="AW10" s="249"/>
      <c r="AX10" s="245">
        <f>80000+4794000</f>
        <v>4874000</v>
      </c>
      <c r="AY10" s="260" t="str">
        <f t="shared" si="4"/>
        <v>Thừa</v>
      </c>
      <c r="AZ10" s="261">
        <f t="shared" si="5"/>
        <v>80000</v>
      </c>
      <c r="BA10" s="272"/>
      <c r="BB10" s="269"/>
      <c r="BC10" s="249"/>
      <c r="BD10" s="249"/>
      <c r="BE10" s="249"/>
      <c r="BF10" s="249"/>
      <c r="BG10" s="249"/>
      <c r="BH10" s="249"/>
      <c r="BI10" s="249"/>
      <c r="BJ10" s="249"/>
      <c r="BK10" s="249"/>
      <c r="BL10" s="269"/>
      <c r="BM10" s="249"/>
      <c r="BN10" s="249"/>
      <c r="BO10" s="249"/>
      <c r="BP10" s="249"/>
      <c r="BQ10" s="249"/>
      <c r="BR10" s="249"/>
      <c r="BS10" s="273"/>
      <c r="BT10" s="249"/>
      <c r="BU10" s="273"/>
      <c r="BV10" s="249"/>
      <c r="BW10" s="249"/>
      <c r="BX10" s="249"/>
      <c r="BY10" s="249"/>
      <c r="BZ10" s="249"/>
      <c r="CA10" s="249">
        <v>144</v>
      </c>
      <c r="CB10" s="249">
        <v>209</v>
      </c>
      <c r="CC10" s="249">
        <f>CB10-CA10</f>
        <v>65</v>
      </c>
      <c r="CD10" s="249">
        <v>3800</v>
      </c>
      <c r="CE10" s="249">
        <f>CC10*CD10</f>
        <v>247000</v>
      </c>
      <c r="CF10" s="249"/>
      <c r="CG10" s="249">
        <f>CE10/3</f>
        <v>82333.333333333328</v>
      </c>
    </row>
    <row r="11" spans="1:85" ht="19.5" customHeight="1">
      <c r="A11" s="264" t="s">
        <v>43</v>
      </c>
      <c r="B11" s="264" t="s">
        <v>144</v>
      </c>
      <c r="C11" s="249">
        <v>303</v>
      </c>
      <c r="D11" s="249" t="s">
        <v>238</v>
      </c>
      <c r="E11" s="249">
        <v>1</v>
      </c>
      <c r="F11" s="265">
        <v>4000000</v>
      </c>
      <c r="G11" s="266">
        <v>4300000</v>
      </c>
      <c r="H11" s="265">
        <v>4000000</v>
      </c>
      <c r="I11" s="265">
        <v>4000000</v>
      </c>
      <c r="J11" s="267"/>
      <c r="K11" s="249">
        <v>30</v>
      </c>
      <c r="L11" s="249">
        <v>30</v>
      </c>
      <c r="M11" s="268"/>
      <c r="N11" s="269"/>
      <c r="O11" s="270">
        <v>3</v>
      </c>
      <c r="P11" s="249">
        <v>452</v>
      </c>
      <c r="Q11" s="249">
        <v>670</v>
      </c>
      <c r="R11" s="249">
        <f t="shared" si="6"/>
        <v>218</v>
      </c>
      <c r="S11" s="269">
        <v>4000</v>
      </c>
      <c r="T11" s="269">
        <f t="shared" si="1"/>
        <v>872000</v>
      </c>
      <c r="U11" s="249"/>
      <c r="V11" s="249"/>
      <c r="W11" s="270">
        <v>3</v>
      </c>
      <c r="X11" s="249">
        <v>120000</v>
      </c>
      <c r="Y11" s="249">
        <f t="shared" si="7"/>
        <v>360000</v>
      </c>
      <c r="Z11" s="270"/>
      <c r="AA11" s="249"/>
      <c r="AB11" s="249">
        <f>Z11*AA11</f>
        <v>0</v>
      </c>
      <c r="AC11" s="264"/>
      <c r="AD11" s="249">
        <v>100000</v>
      </c>
      <c r="AE11" s="249">
        <f t="shared" si="8"/>
        <v>0</v>
      </c>
      <c r="AF11" s="249">
        <v>3</v>
      </c>
      <c r="AG11" s="249">
        <v>60000</v>
      </c>
      <c r="AH11" s="249">
        <f t="shared" si="9"/>
        <v>180000</v>
      </c>
      <c r="AI11" s="249"/>
      <c r="AJ11" s="249"/>
      <c r="AK11" s="249"/>
      <c r="AL11" s="270"/>
      <c r="AM11" s="249"/>
      <c r="AN11" s="271"/>
      <c r="AO11" s="249">
        <v>3</v>
      </c>
      <c r="AP11" s="249">
        <v>120000</v>
      </c>
      <c r="AQ11" s="249">
        <f t="shared" si="10"/>
        <v>360000</v>
      </c>
      <c r="AR11" s="248"/>
      <c r="AS11" s="248"/>
      <c r="AT11" s="248">
        <f t="shared" si="11"/>
        <v>0</v>
      </c>
      <c r="AU11" s="257">
        <f t="shared" si="2"/>
        <v>1772000</v>
      </c>
      <c r="AV11" s="258">
        <f t="shared" si="3"/>
        <v>5772000</v>
      </c>
      <c r="AW11" s="249"/>
      <c r="AX11" s="245">
        <v>5772000</v>
      </c>
      <c r="AY11" s="260" t="str">
        <f t="shared" si="4"/>
        <v>Đủ</v>
      </c>
      <c r="AZ11" s="261">
        <f t="shared" si="5"/>
        <v>0</v>
      </c>
      <c r="BA11" s="272"/>
      <c r="BB11" s="269"/>
      <c r="BC11" s="249"/>
      <c r="BD11" s="249"/>
      <c r="BE11" s="249"/>
      <c r="BF11" s="249"/>
      <c r="BG11" s="249"/>
      <c r="BH11" s="249"/>
      <c r="BI11" s="249"/>
      <c r="BJ11" s="249"/>
      <c r="BK11" s="249"/>
      <c r="BL11" s="269"/>
      <c r="BM11" s="249"/>
      <c r="BN11" s="249"/>
      <c r="BO11" s="249"/>
      <c r="BP11" s="249"/>
      <c r="BQ11" s="249"/>
      <c r="BR11" s="249"/>
      <c r="BS11" s="273"/>
      <c r="BT11" s="249"/>
      <c r="BU11" s="273"/>
      <c r="BV11" s="249"/>
      <c r="BW11" s="249"/>
      <c r="BX11" s="249"/>
      <c r="BY11" s="249"/>
      <c r="BZ11" s="249"/>
      <c r="CA11" s="249"/>
      <c r="CB11" s="249"/>
      <c r="CC11" s="249"/>
      <c r="CD11" s="249"/>
      <c r="CE11" s="249"/>
      <c r="CF11" s="249"/>
      <c r="CG11" s="249"/>
    </row>
    <row r="12" spans="1:85" ht="21.75" customHeight="1">
      <c r="A12" s="264" t="s">
        <v>44</v>
      </c>
      <c r="B12" s="264" t="s">
        <v>144</v>
      </c>
      <c r="C12" s="249">
        <v>304</v>
      </c>
      <c r="D12" s="249" t="s">
        <v>238</v>
      </c>
      <c r="E12" s="249">
        <v>1</v>
      </c>
      <c r="F12" s="265">
        <v>4100000</v>
      </c>
      <c r="G12" s="266">
        <v>4400000</v>
      </c>
      <c r="H12" s="265">
        <v>4100000</v>
      </c>
      <c r="I12" s="265">
        <v>4100000</v>
      </c>
      <c r="J12" s="267"/>
      <c r="K12" s="274">
        <v>30</v>
      </c>
      <c r="L12" s="249">
        <v>30</v>
      </c>
      <c r="M12" s="268"/>
      <c r="N12" s="269"/>
      <c r="O12" s="275">
        <v>2</v>
      </c>
      <c r="P12" s="249">
        <v>184</v>
      </c>
      <c r="Q12" s="249">
        <v>326</v>
      </c>
      <c r="R12" s="249">
        <f t="shared" si="6"/>
        <v>142</v>
      </c>
      <c r="S12" s="269">
        <v>4000</v>
      </c>
      <c r="T12" s="269">
        <f t="shared" si="1"/>
        <v>568000</v>
      </c>
      <c r="U12" s="249"/>
      <c r="V12" s="249"/>
      <c r="W12" s="270">
        <v>2</v>
      </c>
      <c r="X12" s="249">
        <v>120000</v>
      </c>
      <c r="Y12" s="249">
        <f t="shared" si="7"/>
        <v>240000</v>
      </c>
      <c r="Z12" s="275"/>
      <c r="AA12" s="249"/>
      <c r="AB12" s="249">
        <f>Z12*AA12</f>
        <v>0</v>
      </c>
      <c r="AC12" s="264">
        <v>1</v>
      </c>
      <c r="AD12" s="249">
        <v>100000</v>
      </c>
      <c r="AE12" s="249">
        <f t="shared" si="8"/>
        <v>100000</v>
      </c>
      <c r="AF12" s="249">
        <v>2</v>
      </c>
      <c r="AG12" s="249">
        <v>60000</v>
      </c>
      <c r="AH12" s="249">
        <f t="shared" si="9"/>
        <v>120000</v>
      </c>
      <c r="AI12" s="249"/>
      <c r="AJ12" s="249"/>
      <c r="AK12" s="249"/>
      <c r="AL12" s="275"/>
      <c r="AM12" s="249"/>
      <c r="AN12" s="271"/>
      <c r="AO12" s="249">
        <v>2</v>
      </c>
      <c r="AP12" s="249">
        <v>120000</v>
      </c>
      <c r="AQ12" s="249">
        <f t="shared" si="10"/>
        <v>240000</v>
      </c>
      <c r="AR12" s="248"/>
      <c r="AS12" s="248"/>
      <c r="AT12" s="248">
        <f t="shared" si="11"/>
        <v>0</v>
      </c>
      <c r="AU12" s="257">
        <f t="shared" si="2"/>
        <v>1268000</v>
      </c>
      <c r="AV12" s="258">
        <f t="shared" si="3"/>
        <v>5368000</v>
      </c>
      <c r="AW12" s="249"/>
      <c r="AX12" s="245">
        <v>5368000</v>
      </c>
      <c r="AY12" s="260" t="str">
        <f t="shared" si="4"/>
        <v>Đủ</v>
      </c>
      <c r="AZ12" s="261">
        <f t="shared" si="5"/>
        <v>0</v>
      </c>
      <c r="BA12" s="272"/>
      <c r="BB12" s="269"/>
      <c r="BC12" s="249"/>
      <c r="BD12" s="249"/>
      <c r="BE12" s="249"/>
      <c r="BF12" s="249"/>
      <c r="BG12" s="249"/>
      <c r="BH12" s="249"/>
      <c r="BI12" s="249"/>
      <c r="BJ12" s="249"/>
      <c r="BK12" s="249"/>
      <c r="BL12" s="269"/>
      <c r="BM12" s="249"/>
      <c r="BN12" s="249"/>
      <c r="BO12" s="249"/>
      <c r="BP12" s="249"/>
      <c r="BQ12" s="249"/>
      <c r="BR12" s="249"/>
      <c r="BS12" s="273"/>
      <c r="BT12" s="249"/>
      <c r="BU12" s="273"/>
      <c r="BV12" s="249"/>
      <c r="BW12" s="249"/>
      <c r="BX12" s="249"/>
      <c r="BY12" s="249"/>
      <c r="BZ12" s="249"/>
      <c r="CA12" s="249"/>
      <c r="CB12" s="249"/>
      <c r="CC12" s="249"/>
      <c r="CD12" s="249"/>
      <c r="CE12" s="249"/>
      <c r="CF12" s="249"/>
      <c r="CG12" s="249"/>
    </row>
    <row r="13" spans="1:85" ht="21.75" customHeight="1">
      <c r="A13" s="264" t="s">
        <v>45</v>
      </c>
      <c r="B13" s="264" t="s">
        <v>144</v>
      </c>
      <c r="C13" s="249">
        <v>401</v>
      </c>
      <c r="D13" s="249" t="s">
        <v>238</v>
      </c>
      <c r="E13" s="249">
        <v>1</v>
      </c>
      <c r="F13" s="266">
        <v>4100000</v>
      </c>
      <c r="G13" s="266">
        <f>4200000+200000</f>
        <v>4400000</v>
      </c>
      <c r="H13" s="266">
        <v>4100000</v>
      </c>
      <c r="I13" s="266">
        <v>4100000</v>
      </c>
      <c r="J13" s="274"/>
      <c r="K13" s="274">
        <v>30</v>
      </c>
      <c r="L13" s="249">
        <v>30</v>
      </c>
      <c r="M13" s="268">
        <v>36000</v>
      </c>
      <c r="N13" s="274"/>
      <c r="O13" s="275">
        <v>2</v>
      </c>
      <c r="P13" s="249">
        <v>334</v>
      </c>
      <c r="Q13" s="249">
        <v>794</v>
      </c>
      <c r="R13" s="249">
        <f t="shared" si="6"/>
        <v>460</v>
      </c>
      <c r="S13" s="269">
        <v>4000</v>
      </c>
      <c r="T13" s="269">
        <f t="shared" si="1"/>
        <v>1840000</v>
      </c>
      <c r="U13" s="249"/>
      <c r="V13" s="249"/>
      <c r="W13" s="270">
        <v>2</v>
      </c>
      <c r="X13" s="249">
        <v>120000</v>
      </c>
      <c r="Y13" s="249">
        <f t="shared" si="7"/>
        <v>240000</v>
      </c>
      <c r="Z13" s="275"/>
      <c r="AA13" s="249"/>
      <c r="AB13" s="249"/>
      <c r="AC13" s="264">
        <v>1</v>
      </c>
      <c r="AD13" s="249">
        <v>100000</v>
      </c>
      <c r="AE13" s="249">
        <f t="shared" si="8"/>
        <v>100000</v>
      </c>
      <c r="AF13" s="249">
        <v>2</v>
      </c>
      <c r="AG13" s="249">
        <v>60000</v>
      </c>
      <c r="AH13" s="249">
        <f t="shared" si="9"/>
        <v>120000</v>
      </c>
      <c r="AI13" s="249"/>
      <c r="AJ13" s="249"/>
      <c r="AK13" s="249"/>
      <c r="AL13" s="275"/>
      <c r="AM13" s="249"/>
      <c r="AN13" s="271"/>
      <c r="AO13" s="249">
        <v>2</v>
      </c>
      <c r="AP13" s="249">
        <v>120000</v>
      </c>
      <c r="AQ13" s="249">
        <f t="shared" si="10"/>
        <v>240000</v>
      </c>
      <c r="AR13" s="248"/>
      <c r="AS13" s="248"/>
      <c r="AT13" s="248">
        <f t="shared" si="11"/>
        <v>0</v>
      </c>
      <c r="AU13" s="257">
        <f t="shared" si="2"/>
        <v>2540000</v>
      </c>
      <c r="AV13" s="258">
        <f t="shared" si="3"/>
        <v>6676000</v>
      </c>
      <c r="AW13" s="249"/>
      <c r="AX13" s="245">
        <v>6676000</v>
      </c>
      <c r="AY13" s="260" t="str">
        <f t="shared" si="4"/>
        <v>Đủ</v>
      </c>
      <c r="AZ13" s="261">
        <f t="shared" si="5"/>
        <v>0</v>
      </c>
      <c r="BA13" s="272"/>
      <c r="BB13" s="269"/>
      <c r="BC13" s="249"/>
      <c r="BD13" s="249"/>
      <c r="BE13" s="249"/>
      <c r="BF13" s="249"/>
      <c r="BG13" s="249"/>
      <c r="BH13" s="249"/>
      <c r="BI13" s="249"/>
      <c r="BJ13" s="249"/>
      <c r="BK13" s="249"/>
      <c r="BL13" s="269"/>
      <c r="BM13" s="249"/>
      <c r="BN13" s="249"/>
      <c r="BO13" s="249"/>
      <c r="BP13" s="249"/>
      <c r="BQ13" s="249"/>
      <c r="BR13" s="249"/>
      <c r="BS13" s="273"/>
      <c r="BT13" s="249"/>
      <c r="BU13" s="273"/>
      <c r="BV13" s="249"/>
      <c r="BW13" s="249"/>
      <c r="BX13" s="249"/>
      <c r="BY13" s="249"/>
      <c r="BZ13" s="249"/>
      <c r="CA13" s="249"/>
      <c r="CB13" s="249"/>
      <c r="CC13" s="249"/>
      <c r="CD13" s="249"/>
      <c r="CE13" s="249"/>
      <c r="CF13" s="249"/>
      <c r="CG13" s="249"/>
    </row>
    <row r="14" spans="1:85" ht="21.75" customHeight="1">
      <c r="A14" s="264" t="s">
        <v>46</v>
      </c>
      <c r="B14" s="264" t="s">
        <v>144</v>
      </c>
      <c r="C14" s="249">
        <v>402</v>
      </c>
      <c r="D14" s="249" t="s">
        <v>238</v>
      </c>
      <c r="E14" s="249">
        <v>1</v>
      </c>
      <c r="F14" s="266">
        <v>3900000</v>
      </c>
      <c r="G14" s="266">
        <v>4000000</v>
      </c>
      <c r="H14" s="266">
        <v>3900000</v>
      </c>
      <c r="I14" s="266">
        <v>3900000</v>
      </c>
      <c r="J14" s="274"/>
      <c r="K14" s="249">
        <v>30</v>
      </c>
      <c r="L14" s="249">
        <v>30</v>
      </c>
      <c r="M14" s="268"/>
      <c r="N14" s="269"/>
      <c r="O14" s="275">
        <v>2</v>
      </c>
      <c r="P14" s="249">
        <v>282</v>
      </c>
      <c r="Q14" s="249">
        <v>488</v>
      </c>
      <c r="R14" s="249">
        <f t="shared" si="6"/>
        <v>206</v>
      </c>
      <c r="S14" s="269">
        <v>4000</v>
      </c>
      <c r="T14" s="269">
        <f t="shared" si="1"/>
        <v>824000</v>
      </c>
      <c r="U14" s="249"/>
      <c r="V14" s="249"/>
      <c r="W14" s="270">
        <v>2</v>
      </c>
      <c r="X14" s="249">
        <v>120000</v>
      </c>
      <c r="Y14" s="249">
        <f t="shared" si="7"/>
        <v>240000</v>
      </c>
      <c r="Z14" s="275"/>
      <c r="AA14" s="249"/>
      <c r="AB14" s="249"/>
      <c r="AC14" s="264">
        <v>1</v>
      </c>
      <c r="AD14" s="249">
        <v>100000</v>
      </c>
      <c r="AE14" s="249">
        <f t="shared" si="8"/>
        <v>100000</v>
      </c>
      <c r="AF14" s="249">
        <v>2</v>
      </c>
      <c r="AG14" s="249">
        <v>60000</v>
      </c>
      <c r="AH14" s="249">
        <f t="shared" si="9"/>
        <v>120000</v>
      </c>
      <c r="AI14" s="249">
        <v>1</v>
      </c>
      <c r="AJ14" s="249">
        <v>400000</v>
      </c>
      <c r="AK14" s="249">
        <f>AI14*AJ14</f>
        <v>400000</v>
      </c>
      <c r="AL14" s="275"/>
      <c r="AM14" s="249"/>
      <c r="AN14" s="271"/>
      <c r="AO14" s="249">
        <v>2</v>
      </c>
      <c r="AP14" s="249">
        <v>120000</v>
      </c>
      <c r="AQ14" s="249">
        <f t="shared" si="10"/>
        <v>240000</v>
      </c>
      <c r="AR14" s="248"/>
      <c r="AS14" s="248"/>
      <c r="AT14" s="248">
        <f t="shared" si="11"/>
        <v>0</v>
      </c>
      <c r="AU14" s="257">
        <f t="shared" si="2"/>
        <v>1924000</v>
      </c>
      <c r="AV14" s="258">
        <f t="shared" si="3"/>
        <v>5824000</v>
      </c>
      <c r="AW14" s="249"/>
      <c r="AX14" s="245">
        <f>4400000+1424000</f>
        <v>5824000</v>
      </c>
      <c r="AY14" s="260" t="str">
        <f t="shared" si="4"/>
        <v>Đủ</v>
      </c>
      <c r="AZ14" s="261">
        <f t="shared" si="5"/>
        <v>0</v>
      </c>
      <c r="BA14" s="272"/>
      <c r="BB14" s="269"/>
      <c r="BC14" s="249"/>
      <c r="BD14" s="249"/>
      <c r="BE14" s="249"/>
      <c r="BF14" s="249"/>
      <c r="BG14" s="249"/>
      <c r="BH14" s="249"/>
      <c r="BI14" s="249"/>
      <c r="BJ14" s="249"/>
      <c r="BK14" s="249"/>
      <c r="BL14" s="269"/>
      <c r="BM14" s="249"/>
      <c r="BN14" s="249"/>
      <c r="BO14" s="249"/>
      <c r="BP14" s="249"/>
      <c r="BQ14" s="249"/>
      <c r="BR14" s="249"/>
      <c r="BS14" s="273"/>
      <c r="BT14" s="249"/>
      <c r="BU14" s="273"/>
      <c r="BV14" s="249"/>
      <c r="BW14" s="249"/>
      <c r="BX14" s="249"/>
      <c r="BY14" s="249"/>
      <c r="BZ14" s="249"/>
      <c r="CA14" s="249"/>
      <c r="CB14" s="249"/>
      <c r="CC14" s="249"/>
      <c r="CD14" s="249"/>
      <c r="CE14" s="249"/>
      <c r="CF14" s="249"/>
      <c r="CG14" s="249"/>
    </row>
    <row r="15" spans="1:85" ht="20.25" customHeight="1">
      <c r="A15" s="264" t="s">
        <v>47</v>
      </c>
      <c r="B15" s="264" t="s">
        <v>144</v>
      </c>
      <c r="C15" s="249">
        <v>403</v>
      </c>
      <c r="D15" s="249" t="s">
        <v>238</v>
      </c>
      <c r="E15" s="249">
        <v>1</v>
      </c>
      <c r="F15" s="266">
        <v>4200000</v>
      </c>
      <c r="G15" s="266">
        <f>4300000+200000</f>
        <v>4500000</v>
      </c>
      <c r="H15" s="266">
        <v>4200000</v>
      </c>
      <c r="I15" s="266">
        <v>4200000</v>
      </c>
      <c r="J15" s="274"/>
      <c r="K15" s="249">
        <v>30</v>
      </c>
      <c r="L15" s="249">
        <v>30</v>
      </c>
      <c r="M15" s="268"/>
      <c r="N15" s="269"/>
      <c r="O15" s="275">
        <v>2</v>
      </c>
      <c r="P15" s="249">
        <v>230</v>
      </c>
      <c r="Q15" s="249">
        <v>456</v>
      </c>
      <c r="R15" s="249">
        <f t="shared" si="6"/>
        <v>226</v>
      </c>
      <c r="S15" s="269">
        <v>4000</v>
      </c>
      <c r="T15" s="269">
        <f t="shared" si="1"/>
        <v>904000</v>
      </c>
      <c r="U15" s="249"/>
      <c r="V15" s="249"/>
      <c r="W15" s="270">
        <v>2</v>
      </c>
      <c r="X15" s="249">
        <v>120000</v>
      </c>
      <c r="Y15" s="249">
        <f t="shared" si="7"/>
        <v>240000</v>
      </c>
      <c r="Z15" s="275"/>
      <c r="AA15" s="249"/>
      <c r="AB15" s="249"/>
      <c r="AC15" s="264"/>
      <c r="AD15" s="249">
        <v>100000</v>
      </c>
      <c r="AE15" s="249">
        <f t="shared" si="8"/>
        <v>0</v>
      </c>
      <c r="AF15" s="249">
        <v>2</v>
      </c>
      <c r="AG15" s="249">
        <v>60000</v>
      </c>
      <c r="AH15" s="249">
        <f t="shared" si="9"/>
        <v>120000</v>
      </c>
      <c r="AI15" s="249"/>
      <c r="AJ15" s="249"/>
      <c r="AK15" s="249"/>
      <c r="AL15" s="275"/>
      <c r="AM15" s="249"/>
      <c r="AN15" s="271"/>
      <c r="AO15" s="249">
        <v>2</v>
      </c>
      <c r="AP15" s="249">
        <v>120000</v>
      </c>
      <c r="AQ15" s="249">
        <f t="shared" si="10"/>
        <v>240000</v>
      </c>
      <c r="AR15" s="248"/>
      <c r="AS15" s="248"/>
      <c r="AT15" s="248">
        <f t="shared" si="11"/>
        <v>0</v>
      </c>
      <c r="AU15" s="257">
        <f t="shared" si="2"/>
        <v>1504000</v>
      </c>
      <c r="AV15" s="258">
        <f t="shared" si="3"/>
        <v>5704000</v>
      </c>
      <c r="AW15" s="249"/>
      <c r="AX15" s="245">
        <v>5704000</v>
      </c>
      <c r="AY15" s="260" t="str">
        <f t="shared" si="4"/>
        <v>Đủ</v>
      </c>
      <c r="AZ15" s="261">
        <f t="shared" si="5"/>
        <v>0</v>
      </c>
      <c r="BA15" s="272"/>
      <c r="BB15" s="269"/>
      <c r="BC15" s="249"/>
      <c r="BD15" s="249"/>
      <c r="BE15" s="249"/>
      <c r="BF15" s="249"/>
      <c r="BG15" s="249"/>
      <c r="BH15" s="249"/>
      <c r="BI15" s="249"/>
      <c r="BJ15" s="249"/>
      <c r="BK15" s="249"/>
      <c r="BL15" s="269"/>
      <c r="BM15" s="249"/>
      <c r="BN15" s="249"/>
      <c r="BO15" s="249"/>
      <c r="BP15" s="249"/>
      <c r="BQ15" s="249"/>
      <c r="BR15" s="249"/>
      <c r="BS15" s="273"/>
      <c r="BT15" s="249"/>
      <c r="BU15" s="273"/>
      <c r="BV15" s="249"/>
      <c r="BW15" s="249"/>
      <c r="BX15" s="249"/>
      <c r="BY15" s="249"/>
      <c r="BZ15" s="249"/>
      <c r="CA15" s="249"/>
      <c r="CB15" s="249"/>
      <c r="CC15" s="249"/>
      <c r="CD15" s="249"/>
      <c r="CE15" s="249"/>
      <c r="CF15" s="249"/>
      <c r="CG15" s="249"/>
    </row>
    <row r="16" spans="1:85" ht="21.75" customHeight="1">
      <c r="A16" s="264" t="s">
        <v>48</v>
      </c>
      <c r="B16" s="264" t="s">
        <v>144</v>
      </c>
      <c r="C16" s="249">
        <v>404</v>
      </c>
      <c r="D16" s="249" t="s">
        <v>238</v>
      </c>
      <c r="E16" s="249">
        <v>1</v>
      </c>
      <c r="F16" s="250">
        <v>4000000</v>
      </c>
      <c r="G16" s="266">
        <v>4400000</v>
      </c>
      <c r="H16" s="250">
        <v>4000000</v>
      </c>
      <c r="I16" s="250">
        <v>4000000</v>
      </c>
      <c r="J16" s="251"/>
      <c r="K16" s="249">
        <v>30</v>
      </c>
      <c r="L16" s="249">
        <v>30</v>
      </c>
      <c r="M16" s="268"/>
      <c r="N16" s="269"/>
      <c r="O16" s="275">
        <v>1</v>
      </c>
      <c r="P16" s="249">
        <v>215</v>
      </c>
      <c r="Q16" s="249">
        <v>353</v>
      </c>
      <c r="R16" s="249">
        <f t="shared" si="6"/>
        <v>138</v>
      </c>
      <c r="S16" s="269">
        <v>4000</v>
      </c>
      <c r="T16" s="269">
        <f t="shared" si="1"/>
        <v>552000</v>
      </c>
      <c r="U16" s="249"/>
      <c r="V16" s="249"/>
      <c r="W16" s="270">
        <v>1</v>
      </c>
      <c r="X16" s="249">
        <v>120000</v>
      </c>
      <c r="Y16" s="249">
        <f t="shared" si="7"/>
        <v>120000</v>
      </c>
      <c r="Z16" s="275"/>
      <c r="AA16" s="249"/>
      <c r="AB16" s="249"/>
      <c r="AC16" s="264"/>
      <c r="AD16" s="249">
        <v>100000</v>
      </c>
      <c r="AE16" s="249">
        <f t="shared" si="8"/>
        <v>0</v>
      </c>
      <c r="AF16" s="249">
        <v>1</v>
      </c>
      <c r="AG16" s="249">
        <v>60000</v>
      </c>
      <c r="AH16" s="249">
        <f t="shared" si="9"/>
        <v>60000</v>
      </c>
      <c r="AI16" s="249"/>
      <c r="AJ16" s="249"/>
      <c r="AK16" s="249"/>
      <c r="AL16" s="275"/>
      <c r="AM16" s="249"/>
      <c r="AN16" s="271"/>
      <c r="AO16" s="249">
        <v>1</v>
      </c>
      <c r="AP16" s="249">
        <v>120000</v>
      </c>
      <c r="AQ16" s="249">
        <f t="shared" si="10"/>
        <v>120000</v>
      </c>
      <c r="AR16" s="248"/>
      <c r="AS16" s="248"/>
      <c r="AT16" s="248">
        <f t="shared" si="11"/>
        <v>0</v>
      </c>
      <c r="AU16" s="257">
        <f t="shared" si="2"/>
        <v>852000</v>
      </c>
      <c r="AV16" s="258">
        <f t="shared" si="3"/>
        <v>4852000</v>
      </c>
      <c r="AW16" s="249"/>
      <c r="AX16" s="245">
        <v>4852000</v>
      </c>
      <c r="AY16" s="260" t="str">
        <f t="shared" si="4"/>
        <v>Đủ</v>
      </c>
      <c r="AZ16" s="261">
        <f t="shared" si="5"/>
        <v>0</v>
      </c>
      <c r="BA16" s="272"/>
      <c r="BB16" s="269"/>
      <c r="BC16" s="249"/>
      <c r="BD16" s="249"/>
      <c r="BE16" s="249"/>
      <c r="BF16" s="249"/>
      <c r="BG16" s="249"/>
      <c r="BH16" s="249"/>
      <c r="BI16" s="249"/>
      <c r="BJ16" s="249"/>
      <c r="BK16" s="249"/>
      <c r="BL16" s="269"/>
      <c r="BM16" s="249"/>
      <c r="BN16" s="249"/>
      <c r="BO16" s="249"/>
      <c r="BP16" s="249"/>
      <c r="BQ16" s="249"/>
      <c r="BR16" s="249"/>
      <c r="BS16" s="273"/>
      <c r="BT16" s="249"/>
      <c r="BU16" s="273"/>
      <c r="BV16" s="249"/>
      <c r="BW16" s="249"/>
      <c r="BX16" s="249"/>
      <c r="BY16" s="249"/>
      <c r="BZ16" s="249"/>
      <c r="CA16" s="249"/>
      <c r="CB16" s="249"/>
      <c r="CC16" s="249"/>
      <c r="CD16" s="249"/>
      <c r="CE16" s="249"/>
      <c r="CF16" s="249"/>
      <c r="CG16" s="249"/>
    </row>
    <row r="17" spans="1:85" ht="20.25" customHeight="1">
      <c r="A17" s="264" t="s">
        <v>49</v>
      </c>
      <c r="B17" s="264" t="s">
        <v>144</v>
      </c>
      <c r="C17" s="249">
        <v>601</v>
      </c>
      <c r="D17" s="249" t="s">
        <v>238</v>
      </c>
      <c r="E17" s="249">
        <v>1</v>
      </c>
      <c r="F17" s="250">
        <v>3800000</v>
      </c>
      <c r="G17" s="266">
        <v>4100000</v>
      </c>
      <c r="H17" s="250">
        <v>3800000</v>
      </c>
      <c r="I17" s="250">
        <v>3800000</v>
      </c>
      <c r="J17" s="251"/>
      <c r="K17" s="249">
        <v>30</v>
      </c>
      <c r="L17" s="249">
        <v>30</v>
      </c>
      <c r="M17" s="268"/>
      <c r="N17" s="269"/>
      <c r="O17" s="275">
        <v>1</v>
      </c>
      <c r="P17" s="249">
        <v>122</v>
      </c>
      <c r="Q17" s="249">
        <v>239</v>
      </c>
      <c r="R17" s="249">
        <f t="shared" si="6"/>
        <v>117</v>
      </c>
      <c r="S17" s="269">
        <v>4000</v>
      </c>
      <c r="T17" s="269">
        <f t="shared" si="1"/>
        <v>468000</v>
      </c>
      <c r="U17" s="269"/>
      <c r="V17" s="269"/>
      <c r="W17" s="276">
        <v>1</v>
      </c>
      <c r="X17" s="249">
        <v>120000</v>
      </c>
      <c r="Y17" s="249">
        <f t="shared" si="7"/>
        <v>120000</v>
      </c>
      <c r="Z17" s="275"/>
      <c r="AA17" s="249"/>
      <c r="AB17" s="249"/>
      <c r="AC17" s="264">
        <v>1</v>
      </c>
      <c r="AD17" s="249">
        <v>100000</v>
      </c>
      <c r="AE17" s="249">
        <f t="shared" si="8"/>
        <v>100000</v>
      </c>
      <c r="AF17" s="249">
        <v>1</v>
      </c>
      <c r="AG17" s="249">
        <v>60000</v>
      </c>
      <c r="AH17" s="249">
        <f t="shared" si="9"/>
        <v>60000</v>
      </c>
      <c r="AI17" s="249"/>
      <c r="AJ17" s="249"/>
      <c r="AK17" s="249"/>
      <c r="AL17" s="275"/>
      <c r="AM17" s="249"/>
      <c r="AN17" s="271"/>
      <c r="AO17" s="249">
        <v>1</v>
      </c>
      <c r="AP17" s="249">
        <v>120000</v>
      </c>
      <c r="AQ17" s="249">
        <f t="shared" si="10"/>
        <v>120000</v>
      </c>
      <c r="AR17" s="248"/>
      <c r="AS17" s="248"/>
      <c r="AT17" s="248">
        <f t="shared" si="11"/>
        <v>0</v>
      </c>
      <c r="AU17" s="257">
        <f t="shared" si="2"/>
        <v>868000</v>
      </c>
      <c r="AV17" s="258">
        <f t="shared" si="3"/>
        <v>4668000</v>
      </c>
      <c r="AW17" s="249"/>
      <c r="AX17" s="245">
        <v>4668000</v>
      </c>
      <c r="AY17" s="260" t="str">
        <f t="shared" si="4"/>
        <v>Đủ</v>
      </c>
      <c r="AZ17" s="261">
        <f t="shared" si="5"/>
        <v>0</v>
      </c>
      <c r="BA17" s="272"/>
      <c r="BB17" s="269"/>
      <c r="BC17" s="249"/>
      <c r="BD17" s="249"/>
      <c r="BE17" s="249"/>
      <c r="BF17" s="249"/>
      <c r="BG17" s="249"/>
      <c r="BH17" s="249"/>
      <c r="BI17" s="249"/>
      <c r="BJ17" s="249"/>
      <c r="BK17" s="249"/>
      <c r="BL17" s="269"/>
      <c r="BM17" s="249"/>
      <c r="BN17" s="249"/>
      <c r="BO17" s="249"/>
      <c r="BP17" s="249"/>
      <c r="BQ17" s="249"/>
      <c r="BR17" s="249"/>
      <c r="BS17" s="273"/>
      <c r="BT17" s="249"/>
      <c r="BU17" s="273"/>
      <c r="BV17" s="249"/>
      <c r="BW17" s="249"/>
      <c r="BX17" s="249"/>
      <c r="BY17" s="249"/>
      <c r="BZ17" s="249"/>
      <c r="CA17" s="249"/>
      <c r="CB17" s="249"/>
      <c r="CC17" s="249"/>
      <c r="CD17" s="249"/>
      <c r="CE17" s="249"/>
      <c r="CF17" s="249"/>
      <c r="CG17" s="249"/>
    </row>
    <row r="18" spans="1:85" ht="18" customHeight="1">
      <c r="A18" s="264" t="s">
        <v>50</v>
      </c>
      <c r="B18" s="264" t="s">
        <v>144</v>
      </c>
      <c r="C18" s="249">
        <v>603</v>
      </c>
      <c r="D18" s="249" t="s">
        <v>238</v>
      </c>
      <c r="E18" s="249">
        <v>1</v>
      </c>
      <c r="F18" s="250">
        <v>3000000</v>
      </c>
      <c r="G18" s="266">
        <v>3300000</v>
      </c>
      <c r="H18" s="250">
        <v>3000000</v>
      </c>
      <c r="I18" s="250">
        <v>3000000</v>
      </c>
      <c r="J18" s="251"/>
      <c r="K18" s="249">
        <v>30</v>
      </c>
      <c r="L18" s="249">
        <v>30</v>
      </c>
      <c r="M18" s="268"/>
      <c r="N18" s="269"/>
      <c r="O18" s="275">
        <v>2</v>
      </c>
      <c r="P18" s="249">
        <v>103</v>
      </c>
      <c r="Q18" s="249">
        <v>171</v>
      </c>
      <c r="R18" s="249">
        <f t="shared" si="6"/>
        <v>68</v>
      </c>
      <c r="S18" s="269">
        <v>4000</v>
      </c>
      <c r="T18" s="269">
        <f t="shared" si="1"/>
        <v>272000</v>
      </c>
      <c r="U18" s="249"/>
      <c r="V18" s="249"/>
      <c r="W18" s="270">
        <v>2</v>
      </c>
      <c r="X18" s="249">
        <v>120000</v>
      </c>
      <c r="Y18" s="249">
        <f t="shared" si="7"/>
        <v>240000</v>
      </c>
      <c r="Z18" s="275"/>
      <c r="AA18" s="249"/>
      <c r="AB18" s="249">
        <f>Z18*AA18</f>
        <v>0</v>
      </c>
      <c r="AC18" s="264">
        <v>1</v>
      </c>
      <c r="AD18" s="249">
        <v>100000</v>
      </c>
      <c r="AE18" s="249">
        <f t="shared" si="8"/>
        <v>100000</v>
      </c>
      <c r="AF18" s="249">
        <v>2</v>
      </c>
      <c r="AG18" s="249">
        <v>60000</v>
      </c>
      <c r="AH18" s="249">
        <f t="shared" si="9"/>
        <v>120000</v>
      </c>
      <c r="AI18" s="249"/>
      <c r="AJ18" s="249"/>
      <c r="AK18" s="249"/>
      <c r="AL18" s="275"/>
      <c r="AM18" s="249"/>
      <c r="AN18" s="271"/>
      <c r="AO18" s="249">
        <v>2</v>
      </c>
      <c r="AP18" s="249">
        <v>120000</v>
      </c>
      <c r="AQ18" s="249">
        <f t="shared" si="10"/>
        <v>240000</v>
      </c>
      <c r="AR18" s="310">
        <f>(257-212)/2</f>
        <v>22.5</v>
      </c>
      <c r="AS18" s="248">
        <v>4000</v>
      </c>
      <c r="AT18" s="248">
        <f t="shared" si="11"/>
        <v>90000</v>
      </c>
      <c r="AU18" s="257">
        <f t="shared" si="2"/>
        <v>1062000</v>
      </c>
      <c r="AV18" s="258">
        <f t="shared" si="3"/>
        <v>4062000</v>
      </c>
      <c r="AW18" s="249"/>
      <c r="AX18" s="245">
        <v>4062000</v>
      </c>
      <c r="AY18" s="260" t="str">
        <f t="shared" si="4"/>
        <v>Đủ</v>
      </c>
      <c r="AZ18" s="261">
        <f t="shared" si="5"/>
        <v>0</v>
      </c>
      <c r="BA18" s="272"/>
      <c r="BB18" s="269"/>
      <c r="BC18" s="249"/>
      <c r="BD18" s="249"/>
      <c r="BE18" s="249"/>
      <c r="BF18" s="249"/>
      <c r="BG18" s="249"/>
      <c r="BH18" s="249"/>
      <c r="BI18" s="249"/>
      <c r="BJ18" s="249"/>
      <c r="BK18" s="249"/>
      <c r="BL18" s="269"/>
      <c r="BM18" s="249"/>
      <c r="BN18" s="249"/>
      <c r="BO18" s="249"/>
      <c r="BP18" s="249"/>
      <c r="BQ18" s="249"/>
      <c r="BR18" s="249"/>
      <c r="BS18" s="273"/>
      <c r="BT18" s="249"/>
      <c r="BU18" s="273"/>
      <c r="BV18" s="249"/>
      <c r="BW18" s="249"/>
      <c r="BX18" s="249"/>
      <c r="BY18" s="249"/>
      <c r="BZ18" s="249"/>
      <c r="CA18" s="249"/>
      <c r="CB18" s="249"/>
      <c r="CC18" s="249"/>
      <c r="CD18" s="249"/>
      <c r="CE18" s="249"/>
      <c r="CF18" s="249"/>
      <c r="CG18" s="249"/>
    </row>
    <row r="19" spans="1:85" ht="22.5" customHeight="1">
      <c r="A19" s="264" t="s">
        <v>51</v>
      </c>
      <c r="B19" s="264" t="s">
        <v>144</v>
      </c>
      <c r="C19" s="249">
        <v>604</v>
      </c>
      <c r="D19" s="249" t="s">
        <v>238</v>
      </c>
      <c r="E19" s="249">
        <v>1</v>
      </c>
      <c r="F19" s="250">
        <v>3500000</v>
      </c>
      <c r="G19" s="266">
        <v>3500000</v>
      </c>
      <c r="H19" s="250">
        <v>3500000</v>
      </c>
      <c r="I19" s="250">
        <v>3500000</v>
      </c>
      <c r="J19" s="251"/>
      <c r="K19" s="249">
        <v>30</v>
      </c>
      <c r="L19" s="249">
        <v>30</v>
      </c>
      <c r="M19" s="268"/>
      <c r="N19" s="269"/>
      <c r="O19" s="275">
        <v>3</v>
      </c>
      <c r="P19" s="249">
        <v>168</v>
      </c>
      <c r="Q19" s="249">
        <v>371</v>
      </c>
      <c r="R19" s="249">
        <f t="shared" si="6"/>
        <v>203</v>
      </c>
      <c r="S19" s="269">
        <v>4000</v>
      </c>
      <c r="T19" s="269">
        <f t="shared" si="1"/>
        <v>812000</v>
      </c>
      <c r="U19" s="249"/>
      <c r="V19" s="249"/>
      <c r="W19" s="270">
        <v>3</v>
      </c>
      <c r="X19" s="249">
        <v>120000</v>
      </c>
      <c r="Y19" s="249">
        <f t="shared" si="7"/>
        <v>360000</v>
      </c>
      <c r="Z19" s="275"/>
      <c r="AA19" s="249"/>
      <c r="AB19" s="249"/>
      <c r="AC19" s="264">
        <v>1</v>
      </c>
      <c r="AD19" s="249">
        <v>100000</v>
      </c>
      <c r="AE19" s="249">
        <f t="shared" si="8"/>
        <v>100000</v>
      </c>
      <c r="AF19" s="249">
        <v>3</v>
      </c>
      <c r="AG19" s="249">
        <v>60000</v>
      </c>
      <c r="AH19" s="249">
        <f t="shared" si="9"/>
        <v>180000</v>
      </c>
      <c r="AI19" s="249"/>
      <c r="AJ19" s="249"/>
      <c r="AK19" s="249"/>
      <c r="AL19" s="275"/>
      <c r="AM19" s="249"/>
      <c r="AN19" s="271"/>
      <c r="AO19" s="249">
        <v>3</v>
      </c>
      <c r="AP19" s="249">
        <v>120000</v>
      </c>
      <c r="AQ19" s="249">
        <f t="shared" si="10"/>
        <v>360000</v>
      </c>
      <c r="AR19" s="310">
        <f>(257-212)/2</f>
        <v>22.5</v>
      </c>
      <c r="AS19" s="248">
        <v>4000</v>
      </c>
      <c r="AT19" s="248">
        <f t="shared" si="11"/>
        <v>90000</v>
      </c>
      <c r="AU19" s="257">
        <f t="shared" si="2"/>
        <v>1902000</v>
      </c>
      <c r="AV19" s="258">
        <f t="shared" si="3"/>
        <v>5402000</v>
      </c>
      <c r="AW19" s="249"/>
      <c r="AX19" s="245">
        <v>5402000</v>
      </c>
      <c r="AY19" s="260" t="str">
        <f t="shared" si="4"/>
        <v>Đủ</v>
      </c>
      <c r="AZ19" s="261">
        <f t="shared" si="5"/>
        <v>0</v>
      </c>
      <c r="BA19" s="272"/>
      <c r="BB19" s="269"/>
      <c r="BC19" s="249"/>
      <c r="BD19" s="249"/>
      <c r="BE19" s="249"/>
      <c r="BF19" s="249"/>
      <c r="BG19" s="249"/>
      <c r="BH19" s="249"/>
      <c r="BI19" s="249"/>
      <c r="BJ19" s="249"/>
      <c r="BK19" s="249"/>
      <c r="BL19" s="269"/>
      <c r="BM19" s="249"/>
      <c r="BN19" s="249"/>
      <c r="BO19" s="249"/>
      <c r="BP19" s="249"/>
      <c r="BQ19" s="249"/>
      <c r="BR19" s="249"/>
      <c r="BS19" s="273"/>
      <c r="BT19" s="249"/>
      <c r="BU19" s="273"/>
      <c r="BV19" s="249"/>
      <c r="BW19" s="249"/>
      <c r="BX19" s="249"/>
      <c r="BY19" s="249"/>
      <c r="BZ19" s="249"/>
      <c r="CA19" s="249"/>
      <c r="CB19" s="249"/>
      <c r="CC19" s="249"/>
      <c r="CD19" s="249"/>
      <c r="CE19" s="249"/>
      <c r="CF19" s="249"/>
      <c r="CG19" s="249"/>
    </row>
  </sheetData>
  <mergeCells count="10">
    <mergeCell ref="AL1:AN1"/>
    <mergeCell ref="AO1:AQ1"/>
    <mergeCell ref="AR1:AT1"/>
    <mergeCell ref="BA1:BA2"/>
    <mergeCell ref="P1:T1"/>
    <mergeCell ref="U1:Y1"/>
    <mergeCell ref="Z1:AB1"/>
    <mergeCell ref="AC1:AE1"/>
    <mergeCell ref="AF1:AH1"/>
    <mergeCell ref="AI1:AK1"/>
  </mergeCells>
  <conditionalFormatting sqref="AZ4:AZ19">
    <cfRule type="notContainsBlanks" dxfId="5" priority="1">
      <formula>LEN(TRIM(AZ4))&gt;0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C9034-EC09-48D6-982D-07FEF861FAB0}">
  <dimension ref="A1:N86"/>
  <sheetViews>
    <sheetView topLeftCell="A22" workbookViewId="0">
      <selection activeCell="C35" sqref="C35"/>
    </sheetView>
  </sheetViews>
  <sheetFormatPr defaultRowHeight="14.5"/>
  <cols>
    <col min="1" max="1" width="40.26953125" customWidth="1"/>
    <col min="2" max="2" width="24.36328125" customWidth="1"/>
    <col min="3" max="3" width="22.6328125" customWidth="1"/>
    <col min="4" max="4" width="22.453125" customWidth="1"/>
    <col min="6" max="13" width="8.7265625" customWidth="1"/>
    <col min="14" max="14" width="12" customWidth="1"/>
  </cols>
  <sheetData>
    <row r="1" spans="1:14" s="144" customFormat="1" ht="15">
      <c r="A1" s="345" t="s">
        <v>288</v>
      </c>
      <c r="B1" s="345"/>
      <c r="C1" s="345"/>
      <c r="D1" s="345"/>
      <c r="E1" s="143"/>
      <c r="F1" s="346" t="s">
        <v>239</v>
      </c>
      <c r="G1" s="347"/>
      <c r="H1" s="347"/>
      <c r="I1" s="347"/>
      <c r="J1" s="347"/>
      <c r="K1" s="347"/>
      <c r="L1" s="347"/>
      <c r="M1" s="348"/>
    </row>
    <row r="2" spans="1:14" s="144" customFormat="1">
      <c r="A2" s="145" t="s">
        <v>289</v>
      </c>
      <c r="B2" s="146"/>
      <c r="C2" s="147">
        <f>'HĐ T6.26 '!AX2</f>
        <v>79912000</v>
      </c>
      <c r="D2" s="148" t="s">
        <v>173</v>
      </c>
      <c r="E2" s="149"/>
      <c r="F2" s="150"/>
      <c r="G2" s="150" t="s">
        <v>174</v>
      </c>
      <c r="H2" s="150" t="s">
        <v>175</v>
      </c>
      <c r="I2" s="150" t="s">
        <v>176</v>
      </c>
      <c r="J2" s="150" t="s">
        <v>177</v>
      </c>
      <c r="K2" s="151" t="s">
        <v>178</v>
      </c>
      <c r="L2" s="152" t="s">
        <v>179</v>
      </c>
      <c r="M2" s="152" t="s">
        <v>180</v>
      </c>
    </row>
    <row r="3" spans="1:14" s="144" customFormat="1">
      <c r="A3" s="349" t="s">
        <v>181</v>
      </c>
      <c r="B3" s="154"/>
      <c r="C3" s="155">
        <v>3800000</v>
      </c>
      <c r="D3" s="156" t="s">
        <v>291</v>
      </c>
      <c r="E3" s="149"/>
      <c r="F3" s="157" t="s">
        <v>182</v>
      </c>
      <c r="G3" s="155">
        <v>10</v>
      </c>
      <c r="H3" s="155">
        <f>G3*($C$22/100)</f>
        <v>4800000</v>
      </c>
      <c r="I3" s="155">
        <f>G3*$C$73/100</f>
        <v>1355340.6</v>
      </c>
      <c r="J3" s="155">
        <f>G3*$C$74/100</f>
        <v>307728.09587445558</v>
      </c>
      <c r="K3" s="158"/>
      <c r="L3" s="156"/>
      <c r="M3" s="157">
        <f>H3+J3</f>
        <v>5107728.0958744558</v>
      </c>
    </row>
    <row r="4" spans="1:14" s="144" customFormat="1">
      <c r="A4" s="350"/>
      <c r="B4" s="154"/>
      <c r="C4" s="155">
        <v>3800000</v>
      </c>
      <c r="D4" s="156" t="s">
        <v>292</v>
      </c>
      <c r="E4" s="149"/>
      <c r="F4" s="157" t="s">
        <v>183</v>
      </c>
      <c r="G4" s="155">
        <v>20</v>
      </c>
      <c r="H4" s="155">
        <f t="shared" ref="H4:H11" si="0">G4*($C$22/100)</f>
        <v>9600000</v>
      </c>
      <c r="I4" s="155">
        <f t="shared" ref="I4:I11" si="1">G4*$C$73/100</f>
        <v>2710681.2</v>
      </c>
      <c r="J4" s="155">
        <f t="shared" ref="J4:J11" si="2">G4*$C$74/100</f>
        <v>615456.19174891117</v>
      </c>
      <c r="K4" s="158"/>
      <c r="L4" s="156"/>
      <c r="M4" s="157">
        <f t="shared" ref="M4:M11" si="3">H4+J4</f>
        <v>10215456.191748912</v>
      </c>
    </row>
    <row r="5" spans="1:14" s="144" customFormat="1">
      <c r="A5" s="351"/>
      <c r="B5" s="154"/>
      <c r="C5" s="155"/>
      <c r="D5" s="156"/>
      <c r="F5" s="157" t="s">
        <v>240</v>
      </c>
      <c r="G5" s="155">
        <v>15</v>
      </c>
      <c r="H5" s="155">
        <f t="shared" si="0"/>
        <v>7200000</v>
      </c>
      <c r="I5" s="155">
        <f t="shared" si="1"/>
        <v>2033010.9</v>
      </c>
      <c r="J5" s="155">
        <f t="shared" si="2"/>
        <v>461592.14381168335</v>
      </c>
      <c r="K5" s="158"/>
      <c r="L5" s="156"/>
      <c r="M5" s="157">
        <f t="shared" si="3"/>
        <v>7661592.1438116832</v>
      </c>
    </row>
    <row r="6" spans="1:14" s="144" customFormat="1">
      <c r="A6" s="153" t="s">
        <v>185</v>
      </c>
      <c r="B6" s="159"/>
      <c r="C6" s="160">
        <v>1000000</v>
      </c>
      <c r="D6" s="161" t="s">
        <v>290</v>
      </c>
      <c r="F6" s="157" t="s">
        <v>241</v>
      </c>
      <c r="G6" s="155">
        <v>5</v>
      </c>
      <c r="H6" s="155">
        <f t="shared" si="0"/>
        <v>2400000</v>
      </c>
      <c r="I6" s="155">
        <f t="shared" si="1"/>
        <v>677670.3</v>
      </c>
      <c r="J6" s="155">
        <f t="shared" si="2"/>
        <v>153864.04793722779</v>
      </c>
      <c r="K6" s="158"/>
      <c r="L6" s="156"/>
      <c r="M6" s="157">
        <f t="shared" si="3"/>
        <v>2553864.0479372279</v>
      </c>
    </row>
    <row r="7" spans="1:14" s="144" customFormat="1">
      <c r="A7" s="349" t="s">
        <v>186</v>
      </c>
      <c r="B7" s="159"/>
      <c r="C7" s="160"/>
      <c r="D7" s="161"/>
      <c r="F7" s="157" t="s">
        <v>242</v>
      </c>
      <c r="G7" s="155">
        <v>15</v>
      </c>
      <c r="H7" s="155">
        <f t="shared" si="0"/>
        <v>7200000</v>
      </c>
      <c r="I7" s="155">
        <f t="shared" si="1"/>
        <v>2033010.9</v>
      </c>
      <c r="J7" s="155">
        <f t="shared" si="2"/>
        <v>461592.14381168335</v>
      </c>
      <c r="K7" s="158"/>
      <c r="L7" s="156"/>
      <c r="M7" s="157">
        <f t="shared" si="3"/>
        <v>7661592.1438116832</v>
      </c>
    </row>
    <row r="8" spans="1:14" s="144" customFormat="1">
      <c r="A8" s="351"/>
      <c r="B8" s="159"/>
      <c r="C8" s="160"/>
      <c r="D8" s="161"/>
      <c r="F8" s="157" t="s">
        <v>184</v>
      </c>
      <c r="G8" s="155">
        <v>10</v>
      </c>
      <c r="H8" s="155">
        <f t="shared" si="0"/>
        <v>4800000</v>
      </c>
      <c r="I8" s="155">
        <f t="shared" si="1"/>
        <v>1355340.6</v>
      </c>
      <c r="J8" s="155">
        <f t="shared" si="2"/>
        <v>307728.09587445558</v>
      </c>
      <c r="K8" s="158"/>
      <c r="L8" s="156"/>
      <c r="M8" s="157">
        <f t="shared" si="3"/>
        <v>5107728.0958744558</v>
      </c>
      <c r="N8" s="166">
        <f>H13+J13</f>
        <v>51077280.958744556</v>
      </c>
    </row>
    <row r="9" spans="1:14" s="144" customFormat="1">
      <c r="A9" s="153"/>
      <c r="B9" s="159" t="s">
        <v>187</v>
      </c>
      <c r="C9" s="160">
        <v>3</v>
      </c>
      <c r="D9" s="161"/>
      <c r="F9" s="157" t="s">
        <v>243</v>
      </c>
      <c r="G9" s="155">
        <v>5</v>
      </c>
      <c r="H9" s="155">
        <f t="shared" si="0"/>
        <v>2400000</v>
      </c>
      <c r="I9" s="155">
        <f t="shared" si="1"/>
        <v>677670.3</v>
      </c>
      <c r="J9" s="155">
        <f t="shared" si="2"/>
        <v>153864.04793722779</v>
      </c>
      <c r="K9" s="158"/>
      <c r="L9" s="156"/>
      <c r="M9" s="157">
        <f t="shared" si="3"/>
        <v>2553864.0479372279</v>
      </c>
      <c r="N9" s="166">
        <f>H13+J13</f>
        <v>51077280.958744556</v>
      </c>
    </row>
    <row r="10" spans="1:14" s="144" customFormat="1">
      <c r="A10" s="153"/>
      <c r="B10" s="159" t="s">
        <v>188</v>
      </c>
      <c r="C10" s="160">
        <v>2</v>
      </c>
      <c r="D10" s="161"/>
      <c r="F10" s="157" t="s">
        <v>244</v>
      </c>
      <c r="G10" s="155">
        <v>10</v>
      </c>
      <c r="H10" s="155">
        <f t="shared" si="0"/>
        <v>4800000</v>
      </c>
      <c r="I10" s="155">
        <f t="shared" si="1"/>
        <v>1355340.6</v>
      </c>
      <c r="J10" s="155">
        <f t="shared" si="2"/>
        <v>307728.09587445558</v>
      </c>
      <c r="K10" s="158"/>
      <c r="L10" s="156"/>
      <c r="M10" s="157">
        <f t="shared" si="3"/>
        <v>5107728.0958744558</v>
      </c>
    </row>
    <row r="11" spans="1:14" s="144" customFormat="1">
      <c r="A11" s="153"/>
      <c r="B11" s="159" t="s">
        <v>189</v>
      </c>
      <c r="C11" s="160">
        <v>1</v>
      </c>
      <c r="D11" s="161"/>
      <c r="F11" s="157" t="s">
        <v>245</v>
      </c>
      <c r="G11" s="155">
        <v>10</v>
      </c>
      <c r="H11" s="155">
        <f t="shared" si="0"/>
        <v>4800000</v>
      </c>
      <c r="I11" s="155">
        <f t="shared" si="1"/>
        <v>1355340.6</v>
      </c>
      <c r="J11" s="155">
        <f t="shared" si="2"/>
        <v>307728.09587445558</v>
      </c>
      <c r="K11" s="158"/>
      <c r="L11" s="156"/>
      <c r="M11" s="157">
        <f t="shared" si="3"/>
        <v>5107728.0958744558</v>
      </c>
    </row>
    <row r="12" spans="1:14" s="144" customFormat="1">
      <c r="A12" s="167"/>
      <c r="B12" s="154" t="s">
        <v>190</v>
      </c>
      <c r="C12" s="168">
        <f>'HĐ T6.26 '!I2-'HĐ T6.26 '!I13-'HĐ T6.26 '!I14-'HĐ T6.26 '!I17+'[14]PHÒNG MỚI THÁNG 6'!$H$37+'[14]PHÒNG MỚI THÁNG 6'!$H$63</f>
        <v>47760000</v>
      </c>
      <c r="D12" s="169"/>
      <c r="F12" s="157"/>
      <c r="G12" s="155"/>
      <c r="H12" s="155"/>
      <c r="I12" s="155"/>
      <c r="J12" s="155"/>
      <c r="K12" s="158"/>
      <c r="L12" s="156"/>
      <c r="M12" s="157"/>
    </row>
    <row r="13" spans="1:14" s="144" customFormat="1">
      <c r="A13" s="170"/>
      <c r="B13" s="170" t="s">
        <v>191</v>
      </c>
      <c r="C13" s="171">
        <f>'HĐ T6.26 '!T2</f>
        <v>12460000</v>
      </c>
      <c r="D13" s="172"/>
      <c r="E13" s="173"/>
      <c r="F13" s="162"/>
      <c r="G13" s="163">
        <f>SUM(G3:G12)</f>
        <v>100</v>
      </c>
      <c r="H13" s="163">
        <f>SUM(H3:H12)</f>
        <v>48000000</v>
      </c>
      <c r="I13" s="163">
        <f>SUM(I3:I12)</f>
        <v>13553406</v>
      </c>
      <c r="J13" s="163">
        <f>SUM(J3:J12)</f>
        <v>3077280.9587445566</v>
      </c>
      <c r="K13" s="164">
        <f>C78*100</f>
        <v>4.637351054702207</v>
      </c>
      <c r="L13" s="162">
        <f>C80</f>
        <v>5.6690339713320359</v>
      </c>
      <c r="M13" s="163">
        <f>SUM(M3:M12)</f>
        <v>51077280.958744571</v>
      </c>
    </row>
    <row r="14" spans="1:14" s="144" customFormat="1">
      <c r="A14" s="174"/>
      <c r="B14" s="174" t="s">
        <v>192</v>
      </c>
      <c r="C14" s="168">
        <f>'HĐ T6.26 '!Y2+'[14]PHÒNG MỚI THÁNG 6'!$X$37+'[14]PHÒNG MỚI THÁNG 6'!$X$63</f>
        <v>3304000</v>
      </c>
      <c r="D14" s="175"/>
      <c r="E14" s="173"/>
    </row>
    <row r="15" spans="1:14" s="144" customFormat="1">
      <c r="A15" s="174"/>
      <c r="B15" s="174" t="s">
        <v>193</v>
      </c>
      <c r="C15" s="168">
        <f>('HĐ T6.26 '!AQ2-'HĐ T6.26 '!AQ13-'HĐ T6.26 '!AQ14-'HĐ T6.26 '!AQ17)/2+('[14]PHÒNG MỚI THÁNG 6'!$AP$37+'[14]PHÒNG MỚI THÁNG 6'!$AP$63)/2</f>
        <v>1352000</v>
      </c>
      <c r="D15" s="175"/>
      <c r="E15" s="173"/>
      <c r="F15" s="165"/>
    </row>
    <row r="16" spans="1:14" s="144" customFormat="1">
      <c r="A16" s="174"/>
      <c r="B16" s="174" t="s">
        <v>194</v>
      </c>
      <c r="C16" s="168">
        <f>'HĐ T6.26 '!AE2-'HĐ T6.26 '!AE13-'HĐ T6.26 '!AE14-'HĐ T6.26 '!AE17+'[14]PHÒNG MỚI THÁNG 6'!$AD$37+'[14]PHÒNG MỚI THÁNG 6'!$AD$63</f>
        <v>853333.33333333337</v>
      </c>
      <c r="D16" s="175"/>
      <c r="E16" s="173"/>
    </row>
    <row r="17" spans="1:14" s="144" customFormat="1">
      <c r="A17" s="176"/>
      <c r="B17" s="174" t="s">
        <v>195</v>
      </c>
      <c r="C17" s="177">
        <f>'HĐ T6.26 '!AK2-'HĐ T6.26 '!AK14</f>
        <v>450000</v>
      </c>
      <c r="D17" s="178"/>
      <c r="E17" s="173"/>
    </row>
    <row r="18" spans="1:14" s="144" customFormat="1">
      <c r="A18" s="176"/>
      <c r="B18" s="176" t="s">
        <v>196</v>
      </c>
      <c r="C18" s="160">
        <f>'HĐ T6.26 '!AH2-'HĐ T6.26 '!AH13-'HĐ T6.26 '!AH14-'HĐ T6.26 '!AH17+'[14]PHÒNG MỚI THÁNG 6'!$AG$37+'[14]PHÒNG MỚI THÁNG 6'!$AG$63</f>
        <v>1292000</v>
      </c>
      <c r="D18" s="178"/>
      <c r="E18" s="173"/>
    </row>
    <row r="19" spans="1:14" s="144" customFormat="1" ht="15" thickBot="1">
      <c r="A19" s="176"/>
      <c r="B19" s="179" t="s">
        <v>197</v>
      </c>
      <c r="C19" s="180">
        <f>('HĐ T6.26 '!AQ2-'HĐ T6.26 '!AQ13-'HĐ T6.26 '!AQ14-'HĐ T6.26 '!AQ17)/2+('[14]PHÒNG MỚI THÁNG 6'!$AP$37+'[14]PHÒNG MỚI THÁNG 6'!$AP$63)/2</f>
        <v>1352000</v>
      </c>
      <c r="D19" s="178"/>
      <c r="E19" s="173"/>
    </row>
    <row r="20" spans="1:14" s="144" customFormat="1" ht="15" thickBot="1">
      <c r="A20" s="179"/>
      <c r="B20" s="181" t="s">
        <v>198</v>
      </c>
      <c r="C20" s="182">
        <f>SUM(C13:C19)</f>
        <v>21063333.333333332</v>
      </c>
      <c r="D20" s="183"/>
      <c r="E20" s="173"/>
    </row>
    <row r="21" spans="1:14" s="144" customFormat="1">
      <c r="A21" s="184"/>
      <c r="B21" s="185"/>
      <c r="C21" s="186"/>
      <c r="D21" s="187"/>
      <c r="E21" s="173"/>
      <c r="N21" s="166"/>
    </row>
    <row r="22" spans="1:14" s="144" customFormat="1">
      <c r="A22" s="190" t="s">
        <v>199</v>
      </c>
      <c r="B22" s="154" t="s">
        <v>200</v>
      </c>
      <c r="C22" s="155">
        <v>48000000</v>
      </c>
      <c r="D22" s="156"/>
      <c r="E22" s="173"/>
    </row>
    <row r="23" spans="1:14" s="144" customFormat="1">
      <c r="A23" s="343" t="s">
        <v>201</v>
      </c>
      <c r="B23" s="192" t="s">
        <v>298</v>
      </c>
      <c r="C23" s="155">
        <v>500000</v>
      </c>
      <c r="D23" s="156"/>
      <c r="E23" s="173"/>
      <c r="N23" s="189"/>
    </row>
    <row r="24" spans="1:14" s="144" customFormat="1">
      <c r="A24" s="344"/>
      <c r="B24" s="192"/>
      <c r="C24" s="155"/>
      <c r="D24" s="156"/>
      <c r="E24" s="173"/>
      <c r="N24" s="189"/>
    </row>
    <row r="25" spans="1:14" s="144" customFormat="1">
      <c r="A25" s="344"/>
      <c r="B25" s="154"/>
      <c r="C25" s="155"/>
      <c r="D25" s="155"/>
      <c r="E25" s="173"/>
      <c r="N25" s="189"/>
    </row>
    <row r="26" spans="1:14" s="144" customFormat="1">
      <c r="A26" s="344"/>
      <c r="B26" s="154"/>
      <c r="C26" s="155"/>
      <c r="D26" s="156"/>
      <c r="E26" s="173"/>
      <c r="N26" s="189"/>
    </row>
    <row r="27" spans="1:14" s="144" customFormat="1">
      <c r="A27" s="352"/>
      <c r="B27" s="154"/>
      <c r="C27" s="195"/>
      <c r="D27" s="156"/>
      <c r="E27" s="196"/>
      <c r="F27" s="165"/>
      <c r="N27" s="189"/>
    </row>
    <row r="28" spans="1:14" s="144" customFormat="1">
      <c r="A28" s="343" t="s">
        <v>202</v>
      </c>
      <c r="B28" s="154" t="s">
        <v>19</v>
      </c>
      <c r="C28" s="155">
        <v>17258594</v>
      </c>
      <c r="D28" s="156"/>
      <c r="E28" s="173"/>
      <c r="F28" s="188"/>
      <c r="G28" s="188"/>
      <c r="H28" s="188"/>
      <c r="I28" s="188"/>
      <c r="J28" s="188"/>
      <c r="K28" s="188"/>
      <c r="L28" s="188"/>
      <c r="M28" s="189"/>
      <c r="N28" s="189"/>
    </row>
    <row r="29" spans="1:14" s="144" customFormat="1">
      <c r="A29" s="344"/>
      <c r="B29" s="154" t="s">
        <v>20</v>
      </c>
      <c r="C29" s="155">
        <v>300000</v>
      </c>
      <c r="D29" s="156"/>
      <c r="E29" s="173"/>
      <c r="F29" s="188"/>
      <c r="G29" s="188"/>
      <c r="H29" s="188"/>
      <c r="I29" s="188"/>
      <c r="J29" s="188"/>
      <c r="K29" s="188"/>
      <c r="L29" s="188"/>
      <c r="M29" s="191"/>
      <c r="N29" s="189"/>
    </row>
    <row r="30" spans="1:14" s="144" customFormat="1">
      <c r="A30" s="344"/>
      <c r="B30" s="154" t="s">
        <v>203</v>
      </c>
      <c r="C30" s="155">
        <v>0</v>
      </c>
      <c r="D30" s="156"/>
      <c r="E30" s="173"/>
      <c r="F30" s="173"/>
      <c r="G30" s="173"/>
      <c r="H30" s="173"/>
      <c r="I30" s="173"/>
      <c r="J30" s="193"/>
      <c r="K30" s="194"/>
      <c r="L30" s="173"/>
      <c r="M30" s="173"/>
      <c r="N30" s="189"/>
    </row>
    <row r="31" spans="1:14" s="144" customFormat="1">
      <c r="A31" s="344"/>
      <c r="B31" s="154" t="s">
        <v>204</v>
      </c>
      <c r="C31" s="155">
        <v>300000</v>
      </c>
      <c r="D31" s="155"/>
      <c r="E31" s="149"/>
      <c r="F31" s="173"/>
      <c r="G31" s="173"/>
      <c r="H31" s="173"/>
      <c r="I31" s="173"/>
      <c r="J31" s="193"/>
      <c r="K31" s="194"/>
      <c r="L31" s="173"/>
      <c r="M31" s="173"/>
    </row>
    <row r="32" spans="1:14" s="144" customFormat="1">
      <c r="A32" s="344"/>
      <c r="B32" s="154" t="s">
        <v>205</v>
      </c>
      <c r="C32" s="155"/>
      <c r="D32" s="156"/>
      <c r="E32" s="149"/>
      <c r="F32" s="173"/>
      <c r="G32" s="173"/>
      <c r="H32" s="173"/>
      <c r="I32" s="173"/>
      <c r="J32" s="193"/>
      <c r="K32" s="194"/>
      <c r="L32" s="173"/>
      <c r="M32" s="173"/>
    </row>
    <row r="33" spans="1:13" s="144" customFormat="1">
      <c r="A33" s="344"/>
      <c r="B33" s="154" t="s">
        <v>206</v>
      </c>
      <c r="C33" s="155"/>
      <c r="D33" s="156"/>
      <c r="E33" s="149"/>
      <c r="F33" s="173"/>
      <c r="G33" s="173"/>
      <c r="H33" s="173"/>
      <c r="I33" s="173"/>
      <c r="J33" s="193"/>
      <c r="K33" s="194"/>
      <c r="L33" s="173"/>
      <c r="M33" s="173"/>
    </row>
    <row r="34" spans="1:13" s="144" customFormat="1">
      <c r="A34" s="198" t="s">
        <v>207</v>
      </c>
      <c r="B34" s="145"/>
      <c r="C34" s="147">
        <f>SUM(C22:C33)</f>
        <v>66358594</v>
      </c>
      <c r="D34" s="156"/>
      <c r="E34" s="149"/>
      <c r="F34" s="173"/>
      <c r="G34" s="173"/>
      <c r="H34" s="173"/>
      <c r="I34" s="173"/>
      <c r="J34" s="193"/>
      <c r="K34" s="194"/>
      <c r="L34" s="173"/>
      <c r="M34" s="173"/>
    </row>
    <row r="35" spans="1:13" s="144" customFormat="1">
      <c r="A35" s="353" t="s">
        <v>208</v>
      </c>
      <c r="B35" s="154" t="s">
        <v>21</v>
      </c>
      <c r="C35" s="155">
        <v>1385173.3797051676</v>
      </c>
      <c r="D35" s="155"/>
      <c r="E35" s="143"/>
      <c r="F35" s="173"/>
      <c r="G35" s="173"/>
      <c r="H35" s="173"/>
      <c r="I35" s="173"/>
      <c r="J35" s="193"/>
      <c r="K35" s="194"/>
      <c r="L35" s="173"/>
      <c r="M35" s="173"/>
    </row>
    <row r="36" spans="1:13" s="144" customFormat="1">
      <c r="A36" s="354"/>
      <c r="B36" s="154" t="s">
        <v>22</v>
      </c>
      <c r="C36" s="155">
        <f>(12000000/1303)*15</f>
        <v>138142.74750575595</v>
      </c>
      <c r="D36" s="155"/>
      <c r="E36" s="143"/>
      <c r="F36" s="173"/>
      <c r="G36" s="173"/>
      <c r="H36" s="173"/>
      <c r="I36" s="173"/>
      <c r="J36" s="193"/>
      <c r="K36" s="194"/>
      <c r="L36" s="173"/>
      <c r="M36" s="173"/>
    </row>
    <row r="37" spans="1:13" s="144" customFormat="1">
      <c r="A37" s="354"/>
      <c r="B37" s="154" t="s">
        <v>209</v>
      </c>
      <c r="C37" s="155">
        <f>(21000000/1303)*15+10000*15</f>
        <v>391749.80813507293</v>
      </c>
      <c r="D37" s="155"/>
      <c r="E37" s="143"/>
      <c r="F37" s="149"/>
      <c r="G37" s="149"/>
      <c r="H37" s="149"/>
      <c r="I37" s="149"/>
      <c r="J37" s="143"/>
      <c r="K37" s="197"/>
      <c r="L37" s="149"/>
      <c r="M37" s="149"/>
    </row>
    <row r="38" spans="1:13" s="144" customFormat="1">
      <c r="A38" s="354"/>
      <c r="B38" s="154" t="s">
        <v>24</v>
      </c>
      <c r="C38" s="155">
        <v>0</v>
      </c>
      <c r="D38" s="155"/>
      <c r="E38" s="143"/>
      <c r="F38" s="149"/>
      <c r="G38" s="149"/>
      <c r="H38" s="149"/>
      <c r="I38" s="149"/>
      <c r="J38" s="143"/>
      <c r="K38" s="197"/>
      <c r="L38" s="149"/>
      <c r="M38" s="149"/>
    </row>
    <row r="39" spans="1:13" s="144" customFormat="1">
      <c r="A39" s="354"/>
      <c r="B39" s="154" t="s">
        <v>255</v>
      </c>
      <c r="C39" s="155">
        <f>(3000000/1303)*15</f>
        <v>34535.686876438987</v>
      </c>
      <c r="D39" s="155"/>
      <c r="E39" s="143"/>
      <c r="F39" s="149"/>
      <c r="G39" s="149"/>
      <c r="H39" s="149"/>
      <c r="I39" s="149"/>
      <c r="J39" s="143"/>
      <c r="K39" s="197"/>
      <c r="L39" s="149"/>
      <c r="M39" s="149"/>
    </row>
    <row r="40" spans="1:13" s="144" customFormat="1">
      <c r="A40" s="354"/>
      <c r="B40" s="154" t="s">
        <v>210</v>
      </c>
      <c r="C40" s="155">
        <f>(SUM('[15]THÁNG 6'!$Y$131/1303)*15)</f>
        <v>547966.24328472756</v>
      </c>
      <c r="D40" s="155"/>
      <c r="E40" s="143"/>
      <c r="F40" s="149"/>
      <c r="G40" s="149"/>
      <c r="H40" s="149"/>
      <c r="I40" s="149"/>
      <c r="J40" s="143"/>
      <c r="K40" s="197"/>
      <c r="L40" s="149"/>
      <c r="M40" s="149"/>
    </row>
    <row r="41" spans="1:13" s="144" customFormat="1">
      <c r="A41" s="354"/>
      <c r="B41" s="154" t="s">
        <v>26</v>
      </c>
      <c r="C41" s="155">
        <v>550000</v>
      </c>
      <c r="D41" s="155"/>
      <c r="E41" s="143"/>
      <c r="F41" s="149"/>
      <c r="G41" s="149"/>
      <c r="H41" s="149"/>
      <c r="I41" s="149"/>
      <c r="J41" s="143"/>
      <c r="K41" s="197"/>
      <c r="L41" s="149"/>
      <c r="M41" s="149"/>
    </row>
    <row r="42" spans="1:13" s="144" customFormat="1">
      <c r="A42" s="354"/>
      <c r="B42" s="154" t="s">
        <v>27</v>
      </c>
      <c r="C42" s="155">
        <f>150000+10000+(2000000/1303)*15</f>
        <v>183023.79125095933</v>
      </c>
      <c r="D42" s="155"/>
      <c r="E42" s="143"/>
      <c r="F42" s="149"/>
      <c r="G42" s="149"/>
      <c r="H42" s="149"/>
      <c r="I42" s="149"/>
      <c r="J42" s="143"/>
      <c r="K42" s="197"/>
      <c r="L42" s="149"/>
      <c r="M42" s="149"/>
    </row>
    <row r="43" spans="1:13" s="144" customFormat="1">
      <c r="A43" s="354"/>
      <c r="B43" s="154" t="s">
        <v>28</v>
      </c>
      <c r="C43" s="155">
        <f>(22000000/1303)*15</f>
        <v>253261.70376055257</v>
      </c>
      <c r="D43" s="155"/>
      <c r="E43" s="143"/>
      <c r="F43" s="149"/>
      <c r="G43" s="149"/>
      <c r="H43" s="149"/>
      <c r="I43" s="149"/>
      <c r="J43" s="143"/>
      <c r="K43" s="197"/>
      <c r="L43" s="149"/>
      <c r="M43" s="149"/>
    </row>
    <row r="44" spans="1:13" s="144" customFormat="1">
      <c r="A44" s="354"/>
      <c r="B44" s="154" t="s">
        <v>29</v>
      </c>
      <c r="C44" s="155"/>
      <c r="D44" s="155"/>
      <c r="E44" s="143"/>
      <c r="F44" s="149"/>
      <c r="G44" s="149"/>
      <c r="H44" s="149"/>
      <c r="I44" s="149"/>
      <c r="J44" s="143"/>
      <c r="K44" s="197"/>
      <c r="L44" s="149"/>
      <c r="M44" s="149"/>
    </row>
    <row r="45" spans="1:13" s="144" customFormat="1">
      <c r="A45" s="355"/>
      <c r="B45" s="154" t="s">
        <v>211</v>
      </c>
      <c r="C45" s="155">
        <f>('[16]THÁNG 6.26 '!$B$35/1303)*15</f>
        <v>699750.5755947812</v>
      </c>
      <c r="D45" s="155"/>
      <c r="E45" s="143"/>
      <c r="F45" s="149"/>
      <c r="G45" s="149"/>
      <c r="H45" s="149"/>
      <c r="I45" s="149"/>
      <c r="J45" s="143"/>
      <c r="K45" s="197"/>
      <c r="L45" s="149"/>
      <c r="M45" s="149"/>
    </row>
    <row r="46" spans="1:13" s="144" customFormat="1">
      <c r="A46" s="343" t="s">
        <v>212</v>
      </c>
      <c r="B46" s="349" t="s">
        <v>31</v>
      </c>
      <c r="C46" s="155">
        <f>('[16]THÁNG 6.26 '!$F$10/1303)*15</f>
        <v>347521.10514198005</v>
      </c>
      <c r="D46" s="155"/>
      <c r="E46" s="143"/>
      <c r="F46" s="149"/>
      <c r="G46" s="149"/>
      <c r="H46" s="149"/>
      <c r="I46" s="149"/>
      <c r="J46" s="143"/>
      <c r="K46" s="197"/>
      <c r="L46" s="149"/>
      <c r="M46" s="149"/>
    </row>
    <row r="47" spans="1:13" s="144" customFormat="1">
      <c r="A47" s="344"/>
      <c r="B47" s="350"/>
      <c r="C47" s="155">
        <v>1900000</v>
      </c>
      <c r="D47" s="156" t="s">
        <v>291</v>
      </c>
      <c r="E47" s="143"/>
      <c r="F47" s="149"/>
      <c r="G47" s="149"/>
      <c r="H47" s="149"/>
      <c r="I47" s="149"/>
      <c r="J47" s="143"/>
      <c r="K47" s="197"/>
      <c r="L47" s="149"/>
      <c r="M47" s="149"/>
    </row>
    <row r="48" spans="1:13" s="144" customFormat="1">
      <c r="A48" s="344"/>
      <c r="B48" s="350"/>
      <c r="C48" s="155">
        <v>1950000</v>
      </c>
      <c r="D48" s="156" t="s">
        <v>292</v>
      </c>
      <c r="E48" s="143"/>
      <c r="F48" s="149"/>
      <c r="G48" s="149"/>
      <c r="H48" s="149"/>
      <c r="I48" s="149"/>
      <c r="J48" s="143"/>
      <c r="K48" s="197"/>
      <c r="L48" s="149"/>
      <c r="M48" s="149"/>
    </row>
    <row r="49" spans="1:13" s="144" customFormat="1">
      <c r="A49" s="344"/>
      <c r="B49" s="351"/>
      <c r="C49" s="155">
        <v>500000</v>
      </c>
      <c r="D49" s="155" t="s">
        <v>293</v>
      </c>
      <c r="E49" s="143"/>
      <c r="F49" s="149"/>
      <c r="G49" s="149"/>
      <c r="H49" s="149"/>
      <c r="I49" s="149"/>
      <c r="J49" s="143"/>
      <c r="K49" s="197"/>
      <c r="L49" s="149"/>
      <c r="M49" s="149"/>
    </row>
    <row r="50" spans="1:13" s="144" customFormat="1">
      <c r="A50" s="344"/>
      <c r="B50" s="356" t="s">
        <v>213</v>
      </c>
      <c r="C50" s="155"/>
      <c r="D50" s="199"/>
      <c r="E50" s="143"/>
      <c r="F50" s="149"/>
      <c r="G50" s="149"/>
      <c r="H50" s="149"/>
      <c r="I50" s="149"/>
      <c r="J50" s="143"/>
      <c r="K50" s="197"/>
      <c r="L50" s="149"/>
      <c r="M50" s="149"/>
    </row>
    <row r="51" spans="1:13" s="144" customFormat="1" ht="24" customHeight="1">
      <c r="A51" s="344"/>
      <c r="B51" s="357"/>
      <c r="C51" s="200"/>
      <c r="D51" s="199"/>
      <c r="E51" s="143"/>
      <c r="F51" s="149"/>
      <c r="G51" s="149"/>
      <c r="H51" s="149"/>
      <c r="I51" s="149"/>
      <c r="J51" s="143"/>
      <c r="K51" s="197"/>
      <c r="L51" s="149"/>
      <c r="M51" s="149"/>
    </row>
    <row r="52" spans="1:13" s="144" customFormat="1">
      <c r="A52" s="344"/>
      <c r="B52" s="357"/>
      <c r="C52" s="200"/>
      <c r="D52" s="199"/>
      <c r="E52" s="143"/>
      <c r="F52" s="149"/>
      <c r="G52" s="149"/>
      <c r="H52" s="149"/>
      <c r="I52" s="149"/>
      <c r="J52" s="143"/>
      <c r="K52" s="197"/>
      <c r="L52" s="149"/>
      <c r="M52" s="149"/>
    </row>
    <row r="53" spans="1:13" s="144" customFormat="1">
      <c r="A53" s="344"/>
      <c r="B53" s="357"/>
      <c r="C53" s="200"/>
      <c r="D53" s="199"/>
      <c r="E53" s="143"/>
      <c r="F53" s="149"/>
      <c r="G53" s="149"/>
      <c r="H53" s="149"/>
      <c r="I53" s="149"/>
      <c r="J53" s="143"/>
      <c r="K53" s="197"/>
      <c r="L53" s="149"/>
      <c r="M53" s="149"/>
    </row>
    <row r="54" spans="1:13" s="144" customFormat="1">
      <c r="A54" s="344"/>
      <c r="B54" s="357"/>
      <c r="C54" s="200"/>
      <c r="D54" s="199"/>
      <c r="E54" s="143"/>
      <c r="F54" s="149"/>
      <c r="G54" s="149"/>
      <c r="H54" s="149"/>
      <c r="I54" s="149"/>
      <c r="J54" s="143"/>
      <c r="K54" s="197"/>
      <c r="L54" s="149"/>
      <c r="M54" s="149"/>
    </row>
    <row r="55" spans="1:13" s="144" customFormat="1">
      <c r="A55" s="344"/>
      <c r="B55" s="357"/>
      <c r="C55" s="200"/>
      <c r="D55" s="199"/>
      <c r="E55" s="143"/>
      <c r="F55" s="149"/>
      <c r="G55" s="149"/>
      <c r="H55" s="149"/>
      <c r="I55" s="149"/>
      <c r="J55" s="143"/>
      <c r="K55" s="197"/>
      <c r="L55" s="149"/>
      <c r="M55" s="149"/>
    </row>
    <row r="56" spans="1:13" s="144" customFormat="1">
      <c r="A56" s="344"/>
      <c r="B56" s="357"/>
      <c r="C56" s="200"/>
      <c r="D56" s="199"/>
      <c r="E56" s="143"/>
      <c r="F56" s="149"/>
      <c r="G56" s="149"/>
      <c r="H56" s="149"/>
      <c r="I56" s="149"/>
      <c r="J56" s="143"/>
      <c r="K56" s="197"/>
      <c r="L56" s="149"/>
      <c r="M56" s="149"/>
    </row>
    <row r="57" spans="1:13" s="144" customFormat="1">
      <c r="A57" s="344"/>
      <c r="B57" s="357"/>
      <c r="C57" s="201"/>
      <c r="D57" s="202"/>
      <c r="E57" s="143"/>
      <c r="F57" s="149"/>
      <c r="G57" s="149"/>
      <c r="H57" s="149"/>
      <c r="I57" s="149"/>
      <c r="J57" s="143"/>
      <c r="K57" s="197"/>
      <c r="L57" s="149"/>
      <c r="M57" s="149"/>
    </row>
    <row r="58" spans="1:13" s="144" customFormat="1">
      <c r="A58" s="344"/>
      <c r="B58" s="357"/>
      <c r="C58" s="201"/>
      <c r="D58" s="202"/>
      <c r="E58" s="143"/>
      <c r="F58" s="149"/>
      <c r="G58" s="149"/>
      <c r="H58" s="149"/>
      <c r="I58" s="149"/>
      <c r="J58" s="143"/>
      <c r="K58" s="197"/>
      <c r="L58" s="149"/>
      <c r="M58" s="149"/>
    </row>
    <row r="59" spans="1:13" s="144" customFormat="1">
      <c r="A59" s="344"/>
      <c r="B59" s="357"/>
      <c r="C59" s="201"/>
      <c r="D59" s="202"/>
      <c r="E59" s="143"/>
      <c r="F59" s="149"/>
      <c r="G59" s="149"/>
      <c r="H59" s="149"/>
      <c r="I59" s="149"/>
      <c r="J59" s="143"/>
      <c r="K59" s="197"/>
      <c r="L59" s="149"/>
      <c r="M59" s="149"/>
    </row>
    <row r="60" spans="1:13" s="144" customFormat="1">
      <c r="A60" s="344"/>
      <c r="B60" s="357"/>
      <c r="C60" s="201"/>
      <c r="D60" s="202"/>
      <c r="E60" s="143"/>
      <c r="F60" s="149"/>
      <c r="G60" s="149"/>
      <c r="H60" s="149"/>
      <c r="I60" s="149"/>
      <c r="J60" s="143"/>
      <c r="K60" s="197"/>
      <c r="L60" s="149"/>
      <c r="M60" s="149"/>
    </row>
    <row r="61" spans="1:13" s="144" customFormat="1">
      <c r="A61" s="344"/>
      <c r="B61" s="357"/>
      <c r="C61" s="201"/>
      <c r="D61" s="202"/>
      <c r="E61" s="143"/>
      <c r="F61" s="149"/>
      <c r="G61" s="149"/>
      <c r="H61" s="149"/>
      <c r="I61" s="149"/>
      <c r="J61" s="143"/>
      <c r="K61" s="197"/>
      <c r="L61" s="149"/>
      <c r="M61" s="149"/>
    </row>
    <row r="62" spans="1:13" s="144" customFormat="1">
      <c r="A62" s="344"/>
      <c r="B62" s="357"/>
      <c r="C62" s="201"/>
      <c r="D62" s="202"/>
      <c r="E62" s="143"/>
      <c r="F62" s="149"/>
      <c r="G62" s="149"/>
      <c r="H62" s="149"/>
      <c r="I62" s="149"/>
      <c r="J62" s="143"/>
      <c r="K62" s="197"/>
      <c r="L62" s="149"/>
      <c r="M62" s="149"/>
    </row>
    <row r="63" spans="1:13" s="144" customFormat="1">
      <c r="A63" s="344"/>
      <c r="B63" s="357"/>
      <c r="C63" s="201"/>
      <c r="D63" s="202"/>
      <c r="E63" s="149"/>
      <c r="F63" s="149"/>
      <c r="G63" s="149"/>
      <c r="H63" s="149"/>
      <c r="I63" s="149"/>
      <c r="J63" s="143"/>
      <c r="K63" s="197"/>
      <c r="L63" s="149"/>
      <c r="M63" s="149"/>
    </row>
    <row r="64" spans="1:13" s="144" customFormat="1">
      <c r="A64" s="344"/>
      <c r="B64" s="358"/>
      <c r="C64" s="201"/>
      <c r="D64" s="202"/>
      <c r="E64" s="143"/>
      <c r="F64" s="149"/>
      <c r="G64" s="149"/>
      <c r="H64" s="149"/>
      <c r="I64" s="149"/>
      <c r="J64" s="143"/>
      <c r="K64" s="197"/>
      <c r="L64" s="149"/>
      <c r="M64" s="149"/>
    </row>
    <row r="65" spans="1:13" s="144" customFormat="1">
      <c r="A65" s="344"/>
      <c r="B65" s="357" t="s">
        <v>214</v>
      </c>
      <c r="C65" s="200">
        <v>150000</v>
      </c>
      <c r="D65" s="199" t="s">
        <v>294</v>
      </c>
      <c r="E65" s="143"/>
      <c r="F65" s="149"/>
      <c r="G65" s="149"/>
      <c r="H65" s="149"/>
      <c r="I65" s="149"/>
      <c r="J65" s="143"/>
      <c r="K65" s="197"/>
      <c r="L65" s="149"/>
      <c r="M65" s="149"/>
    </row>
    <row r="66" spans="1:13" s="144" customFormat="1">
      <c r="A66" s="344"/>
      <c r="B66" s="357"/>
      <c r="C66" s="200">
        <v>200000</v>
      </c>
      <c r="D66" s="199" t="s">
        <v>295</v>
      </c>
      <c r="E66" s="143"/>
      <c r="F66" s="149"/>
      <c r="G66" s="149"/>
      <c r="H66" s="149"/>
      <c r="I66" s="149"/>
      <c r="J66" s="143"/>
      <c r="K66" s="197"/>
      <c r="L66" s="149"/>
      <c r="M66" s="149"/>
    </row>
    <row r="67" spans="1:13" s="144" customFormat="1">
      <c r="A67" s="344"/>
      <c r="B67" s="357"/>
      <c r="C67" s="201">
        <v>200000</v>
      </c>
      <c r="D67" s="202" t="s">
        <v>296</v>
      </c>
      <c r="E67" s="143"/>
      <c r="F67" s="149"/>
      <c r="G67" s="149"/>
      <c r="H67" s="149"/>
      <c r="I67" s="149"/>
      <c r="J67" s="143"/>
      <c r="K67" s="197"/>
      <c r="L67" s="149"/>
      <c r="M67" s="149"/>
    </row>
    <row r="68" spans="1:13" s="144" customFormat="1">
      <c r="A68" s="344"/>
      <c r="B68" s="357"/>
      <c r="C68" s="201">
        <v>1000000</v>
      </c>
      <c r="D68" s="202" t="s">
        <v>297</v>
      </c>
      <c r="E68" s="143"/>
      <c r="F68" s="149"/>
      <c r="G68" s="149"/>
      <c r="H68" s="149"/>
      <c r="I68" s="149"/>
      <c r="J68" s="143"/>
      <c r="K68" s="197"/>
      <c r="L68" s="149"/>
      <c r="M68" s="149"/>
    </row>
    <row r="69" spans="1:13" s="144" customFormat="1">
      <c r="A69" s="344"/>
      <c r="B69" s="357"/>
      <c r="C69" s="201">
        <v>45000</v>
      </c>
      <c r="D69" s="202" t="s">
        <v>299</v>
      </c>
      <c r="E69" s="143"/>
      <c r="F69" s="149"/>
      <c r="G69" s="149"/>
      <c r="H69" s="149"/>
      <c r="I69" s="149"/>
      <c r="J69" s="143"/>
      <c r="K69" s="197"/>
      <c r="L69" s="149"/>
      <c r="M69" s="149"/>
    </row>
    <row r="70" spans="1:13" s="144" customFormat="1">
      <c r="A70" s="352"/>
      <c r="B70" s="358"/>
      <c r="C70" s="155"/>
      <c r="D70" s="156"/>
      <c r="E70" s="143"/>
      <c r="F70" s="149"/>
      <c r="G70" s="149"/>
      <c r="H70" s="149"/>
      <c r="I70" s="149"/>
      <c r="J70" s="143"/>
      <c r="K70" s="197"/>
      <c r="L70" s="149"/>
      <c r="M70" s="149"/>
    </row>
    <row r="71" spans="1:13" s="144" customFormat="1">
      <c r="A71" s="198" t="s">
        <v>215</v>
      </c>
      <c r="B71" s="145"/>
      <c r="C71" s="203">
        <f>SUM(C35:C70)</f>
        <v>10476125.041255437</v>
      </c>
      <c r="D71" s="36"/>
      <c r="E71" s="149"/>
      <c r="F71" s="149"/>
      <c r="G71" s="149"/>
      <c r="H71" s="149"/>
      <c r="I71" s="149"/>
      <c r="J71" s="143"/>
      <c r="K71" s="197"/>
      <c r="L71" s="149"/>
      <c r="M71" s="149"/>
    </row>
    <row r="72" spans="1:13" s="144" customFormat="1">
      <c r="A72" s="204" t="s">
        <v>216</v>
      </c>
      <c r="B72" s="205"/>
      <c r="C72" s="206">
        <f>C34+C71</f>
        <v>76834719.041255444</v>
      </c>
      <c r="D72" s="36"/>
      <c r="E72" s="149"/>
      <c r="F72" s="149"/>
      <c r="G72" s="149"/>
      <c r="H72" s="149"/>
      <c r="I72" s="149"/>
      <c r="J72" s="143"/>
      <c r="K72" s="197"/>
      <c r="L72" s="149"/>
      <c r="M72" s="149"/>
    </row>
    <row r="73" spans="1:13" s="144" customFormat="1">
      <c r="A73" s="207" t="s">
        <v>217</v>
      </c>
      <c r="B73" s="207"/>
      <c r="C73" s="208">
        <f>C2-C34</f>
        <v>13553406</v>
      </c>
      <c r="D73" s="156" t="s">
        <v>218</v>
      </c>
      <c r="E73" s="143"/>
      <c r="F73" s="149"/>
      <c r="G73" s="149"/>
      <c r="H73" s="149"/>
      <c r="I73" s="149"/>
      <c r="J73" s="143"/>
      <c r="K73" s="197"/>
      <c r="L73" s="149"/>
      <c r="M73" s="149"/>
    </row>
    <row r="74" spans="1:13" s="144" customFormat="1">
      <c r="A74" s="209" t="s">
        <v>219</v>
      </c>
      <c r="B74" s="209"/>
      <c r="C74" s="210">
        <f>C2-C72</f>
        <v>3077280.9587445557</v>
      </c>
      <c r="D74" s="156" t="s">
        <v>220</v>
      </c>
      <c r="E74" s="149"/>
      <c r="F74" s="149"/>
      <c r="G74" s="149"/>
      <c r="H74" s="149"/>
      <c r="I74" s="149"/>
      <c r="J74" s="143"/>
      <c r="K74" s="197"/>
      <c r="L74" s="149"/>
      <c r="M74" s="149"/>
    </row>
    <row r="75" spans="1:13" s="144" customFormat="1">
      <c r="A75" s="211" t="s">
        <v>207</v>
      </c>
      <c r="B75" s="211"/>
      <c r="C75" s="212">
        <f>C34</f>
        <v>66358594</v>
      </c>
      <c r="D75" s="156"/>
      <c r="E75" s="149"/>
      <c r="F75" s="149"/>
      <c r="G75" s="149"/>
      <c r="H75" s="149"/>
      <c r="I75" s="149"/>
      <c r="J75" s="143"/>
      <c r="K75" s="197"/>
      <c r="L75" s="149"/>
      <c r="M75" s="149"/>
    </row>
    <row r="76" spans="1:13" s="144" customFormat="1">
      <c r="A76" s="214" t="s">
        <v>221</v>
      </c>
      <c r="B76" s="215"/>
      <c r="C76" s="216">
        <f>C74/C2</f>
        <v>3.850837119261883E-2</v>
      </c>
      <c r="D76" s="156"/>
      <c r="E76" s="149"/>
      <c r="J76" s="143"/>
      <c r="K76" s="197"/>
      <c r="L76" s="149"/>
      <c r="M76" s="149"/>
    </row>
    <row r="77" spans="1:13" s="144" customFormat="1">
      <c r="A77" s="214" t="s">
        <v>222</v>
      </c>
      <c r="B77" s="215"/>
      <c r="C77" s="216">
        <f>C73/C2</f>
        <v>0.16960413955350886</v>
      </c>
      <c r="D77" s="156"/>
      <c r="J77" s="143"/>
      <c r="K77" s="197"/>
      <c r="L77" s="149"/>
      <c r="M77" s="149"/>
    </row>
    <row r="78" spans="1:13" s="144" customFormat="1">
      <c r="A78" s="214" t="s">
        <v>223</v>
      </c>
      <c r="B78" s="215"/>
      <c r="C78" s="216">
        <f>C74/C75</f>
        <v>4.6373510547022073E-2</v>
      </c>
      <c r="D78" s="156"/>
      <c r="J78" s="143"/>
      <c r="K78" s="197"/>
      <c r="L78" s="149"/>
      <c r="M78" s="149"/>
    </row>
    <row r="79" spans="1:13">
      <c r="A79" s="214" t="s">
        <v>224</v>
      </c>
      <c r="B79" s="215"/>
      <c r="C79" s="216">
        <f>C74/C73</f>
        <v>0.22704853368552197</v>
      </c>
      <c r="D79" s="156"/>
      <c r="F79" s="144"/>
      <c r="G79" s="144"/>
      <c r="H79" s="144"/>
      <c r="I79" s="144"/>
      <c r="J79" s="143"/>
      <c r="K79" s="197"/>
      <c r="L79" s="149"/>
      <c r="M79" s="149"/>
    </row>
    <row r="80" spans="1:13">
      <c r="A80" s="214" t="s">
        <v>179</v>
      </c>
      <c r="B80" s="215"/>
      <c r="C80" s="217">
        <f>C72/C73</f>
        <v>5.6690339713320359</v>
      </c>
      <c r="D80" s="156"/>
      <c r="F80" s="144"/>
      <c r="G80" s="144"/>
      <c r="H80" s="144"/>
      <c r="I80" s="144"/>
      <c r="J80" s="143"/>
      <c r="K80" s="197"/>
      <c r="L80" s="149"/>
      <c r="M80" s="149"/>
    </row>
    <row r="81" spans="1:13">
      <c r="A81" s="214" t="s">
        <v>225</v>
      </c>
      <c r="B81" s="218"/>
      <c r="C81" s="218">
        <f>C75/C2</f>
        <v>0.83039586044649116</v>
      </c>
      <c r="D81" s="9"/>
      <c r="F81" s="144"/>
      <c r="G81" s="144"/>
      <c r="H81" s="144"/>
      <c r="I81" s="144"/>
      <c r="J81" s="143"/>
      <c r="K81" s="197"/>
      <c r="L81" s="149"/>
      <c r="M81" s="149"/>
    </row>
    <row r="82" spans="1:13">
      <c r="A82" s="214" t="s">
        <v>226</v>
      </c>
      <c r="B82" s="218"/>
      <c r="C82" s="218">
        <f>C71/C2</f>
        <v>0.13109576836088993</v>
      </c>
      <c r="D82" s="9"/>
      <c r="F82" s="144"/>
      <c r="G82" s="144"/>
      <c r="H82" s="144"/>
      <c r="I82" s="144"/>
      <c r="J82" s="149"/>
      <c r="K82" s="213"/>
      <c r="L82" s="149"/>
      <c r="M82" s="149"/>
    </row>
    <row r="83" spans="1:13">
      <c r="A83" s="214" t="s">
        <v>227</v>
      </c>
      <c r="B83" s="218"/>
      <c r="C83" s="218">
        <f>C72/C2</f>
        <v>0.96149162880738115</v>
      </c>
      <c r="D83" s="9"/>
      <c r="F83" s="144"/>
      <c r="G83" s="144"/>
      <c r="H83" s="144"/>
      <c r="I83" s="144"/>
      <c r="J83" s="149"/>
      <c r="K83" s="213"/>
      <c r="L83" s="149"/>
      <c r="M83" s="149"/>
    </row>
    <row r="84" spans="1:13">
      <c r="A84" s="214" t="s">
        <v>228</v>
      </c>
      <c r="B84" s="218"/>
      <c r="C84" s="218">
        <f>SUM(C35:C44)/C71</f>
        <v>0.33255171609723144</v>
      </c>
      <c r="D84" s="9"/>
      <c r="F84" s="144"/>
      <c r="G84" s="144"/>
      <c r="H84" s="144"/>
      <c r="I84" s="144"/>
      <c r="J84" s="149"/>
      <c r="K84" s="213"/>
      <c r="L84" s="149"/>
      <c r="M84" s="149"/>
    </row>
    <row r="85" spans="1:13">
      <c r="A85" s="214" t="s">
        <v>229</v>
      </c>
      <c r="B85" s="218"/>
      <c r="C85" s="218">
        <f>SUM(C46:C49)/C71</f>
        <v>0.44840254260453533</v>
      </c>
      <c r="D85" s="9"/>
    </row>
    <row r="86" spans="1:13">
      <c r="A86" s="214" t="s">
        <v>230</v>
      </c>
      <c r="B86" s="218"/>
      <c r="C86" s="218">
        <f>SUM(C65:C70)/C71</f>
        <v>0.15225095096887642</v>
      </c>
      <c r="D86" s="9"/>
    </row>
  </sheetData>
  <mergeCells count="11">
    <mergeCell ref="A35:A45"/>
    <mergeCell ref="A46:A70"/>
    <mergeCell ref="B46:B49"/>
    <mergeCell ref="B50:B64"/>
    <mergeCell ref="B65:B70"/>
    <mergeCell ref="A28:A33"/>
    <mergeCell ref="A1:D1"/>
    <mergeCell ref="F1:M1"/>
    <mergeCell ref="A3:A5"/>
    <mergeCell ref="A7:A8"/>
    <mergeCell ref="A23:A27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C8015-D221-4D82-B7AC-C9082C54C8CD}">
  <dimension ref="A1:CG19"/>
  <sheetViews>
    <sheetView workbookViewId="0">
      <pane xSplit="1" topLeftCell="AD1" activePane="topRight" state="frozen"/>
      <selection activeCell="G9" sqref="G9:J11"/>
      <selection pane="topRight" activeCell="G9" sqref="G9:J11"/>
    </sheetView>
  </sheetViews>
  <sheetFormatPr defaultRowHeight="14.5"/>
  <cols>
    <col min="4" max="4" width="19.36328125" customWidth="1"/>
    <col min="6" max="6" width="12.6328125" customWidth="1"/>
    <col min="7" max="7" width="13" customWidth="1"/>
    <col min="8" max="8" width="12.6328125" customWidth="1"/>
    <col min="9" max="9" width="15.81640625" customWidth="1"/>
    <col min="10" max="10" width="14" customWidth="1"/>
    <col min="13" max="13" width="12.453125" customWidth="1"/>
    <col min="47" max="47" width="10.26953125" customWidth="1"/>
    <col min="48" max="48" width="12.453125" customWidth="1"/>
    <col min="49" max="49" width="44.36328125" customWidth="1"/>
    <col min="50" max="50" width="21.1796875" customWidth="1"/>
    <col min="51" max="51" width="12.81640625" customWidth="1"/>
    <col min="52" max="52" width="11.453125" customWidth="1"/>
  </cols>
  <sheetData>
    <row r="1" spans="1:85">
      <c r="A1" s="219" t="s">
        <v>88</v>
      </c>
      <c r="B1" s="220" t="s">
        <v>8</v>
      </c>
      <c r="C1" s="220" t="s">
        <v>9</v>
      </c>
      <c r="D1" s="221" t="s">
        <v>89</v>
      </c>
      <c r="E1" s="220" t="s">
        <v>90</v>
      </c>
      <c r="F1" s="222" t="s">
        <v>231</v>
      </c>
      <c r="G1" s="220" t="s">
        <v>91</v>
      </c>
      <c r="H1" s="220" t="s">
        <v>92</v>
      </c>
      <c r="I1" s="223" t="s">
        <v>93</v>
      </c>
      <c r="J1" s="220" t="s">
        <v>133</v>
      </c>
      <c r="K1" s="220" t="s">
        <v>95</v>
      </c>
      <c r="L1" s="220" t="s">
        <v>96</v>
      </c>
      <c r="M1" s="224" t="s">
        <v>232</v>
      </c>
      <c r="N1" s="220" t="s">
        <v>98</v>
      </c>
      <c r="O1" s="220" t="s">
        <v>99</v>
      </c>
      <c r="P1" s="375" t="s">
        <v>100</v>
      </c>
      <c r="Q1" s="372"/>
      <c r="R1" s="372"/>
      <c r="S1" s="372"/>
      <c r="T1" s="373"/>
      <c r="U1" s="376" t="s">
        <v>20</v>
      </c>
      <c r="V1" s="372"/>
      <c r="W1" s="372"/>
      <c r="X1" s="372"/>
      <c r="Y1" s="373"/>
      <c r="Z1" s="377" t="s">
        <v>101</v>
      </c>
      <c r="AA1" s="372"/>
      <c r="AB1" s="373"/>
      <c r="AC1" s="378" t="s">
        <v>102</v>
      </c>
      <c r="AD1" s="372"/>
      <c r="AE1" s="373"/>
      <c r="AF1" s="379" t="s">
        <v>103</v>
      </c>
      <c r="AG1" s="372"/>
      <c r="AH1" s="373"/>
      <c r="AI1" s="380" t="s">
        <v>104</v>
      </c>
      <c r="AJ1" s="372"/>
      <c r="AK1" s="373"/>
      <c r="AL1" s="371" t="s">
        <v>105</v>
      </c>
      <c r="AM1" s="372"/>
      <c r="AN1" s="373"/>
      <c r="AO1" s="371" t="s">
        <v>106</v>
      </c>
      <c r="AP1" s="372"/>
      <c r="AQ1" s="373"/>
      <c r="AR1" s="371" t="s">
        <v>233</v>
      </c>
      <c r="AS1" s="372"/>
      <c r="AT1" s="373"/>
      <c r="AU1" s="220" t="s">
        <v>107</v>
      </c>
      <c r="AV1" s="220" t="s">
        <v>108</v>
      </c>
      <c r="AW1" s="225" t="s">
        <v>109</v>
      </c>
      <c r="AX1" s="226" t="s">
        <v>234</v>
      </c>
      <c r="AY1" s="220" t="s">
        <v>111</v>
      </c>
      <c r="AZ1" s="227" t="s">
        <v>235</v>
      </c>
      <c r="BA1" s="374" t="s">
        <v>136</v>
      </c>
    </row>
    <row r="2" spans="1:85">
      <c r="A2" s="228"/>
      <c r="B2" s="229"/>
      <c r="C2" s="229"/>
      <c r="D2" s="230"/>
      <c r="E2" s="229"/>
      <c r="F2" s="229"/>
      <c r="G2" s="231">
        <f>SUM(G4:G19)</f>
        <v>61200000</v>
      </c>
      <c r="H2" s="231">
        <f t="shared" ref="H2:AW2" si="0">SUM(H4:H19)</f>
        <v>57500000</v>
      </c>
      <c r="I2" s="231">
        <f t="shared" si="0"/>
        <v>57500000</v>
      </c>
      <c r="J2" s="231">
        <f t="shared" si="0"/>
        <v>0</v>
      </c>
      <c r="K2" s="231">
        <f t="shared" si="0"/>
        <v>480</v>
      </c>
      <c r="L2" s="231">
        <f t="shared" si="0"/>
        <v>480</v>
      </c>
      <c r="M2" s="231">
        <f t="shared" si="0"/>
        <v>0</v>
      </c>
      <c r="N2" s="231">
        <f t="shared" si="0"/>
        <v>0</v>
      </c>
      <c r="O2" s="231">
        <f t="shared" si="0"/>
        <v>27</v>
      </c>
      <c r="P2" s="231">
        <f t="shared" si="0"/>
        <v>5752</v>
      </c>
      <c r="Q2" s="231">
        <f t="shared" si="0"/>
        <v>8328</v>
      </c>
      <c r="R2" s="231">
        <f t="shared" si="0"/>
        <v>3192</v>
      </c>
      <c r="S2" s="231">
        <f t="shared" si="0"/>
        <v>63500</v>
      </c>
      <c r="T2" s="231">
        <f t="shared" si="0"/>
        <v>12460000</v>
      </c>
      <c r="U2" s="231">
        <f t="shared" si="0"/>
        <v>0</v>
      </c>
      <c r="V2" s="231">
        <f t="shared" si="0"/>
        <v>0</v>
      </c>
      <c r="W2" s="231">
        <f t="shared" si="0"/>
        <v>27</v>
      </c>
      <c r="X2" s="231">
        <f t="shared" si="0"/>
        <v>1800000</v>
      </c>
      <c r="Y2" s="231">
        <f t="shared" si="0"/>
        <v>3240000</v>
      </c>
      <c r="Z2" s="231">
        <f t="shared" si="0"/>
        <v>0</v>
      </c>
      <c r="AA2" s="231">
        <f t="shared" si="0"/>
        <v>0</v>
      </c>
      <c r="AB2" s="231">
        <f t="shared" si="0"/>
        <v>0</v>
      </c>
      <c r="AC2" s="231">
        <f t="shared" si="0"/>
        <v>11</v>
      </c>
      <c r="AD2" s="231">
        <f t="shared" si="0"/>
        <v>1500000</v>
      </c>
      <c r="AE2" s="231">
        <f t="shared" si="0"/>
        <v>1100000</v>
      </c>
      <c r="AF2" s="231">
        <f t="shared" si="0"/>
        <v>26</v>
      </c>
      <c r="AG2" s="231">
        <f t="shared" si="0"/>
        <v>900000</v>
      </c>
      <c r="AH2" s="231">
        <f t="shared" si="0"/>
        <v>1560000</v>
      </c>
      <c r="AI2" s="231">
        <f t="shared" si="0"/>
        <v>4</v>
      </c>
      <c r="AJ2" s="231">
        <f t="shared" si="0"/>
        <v>850000</v>
      </c>
      <c r="AK2" s="231">
        <f t="shared" si="0"/>
        <v>850000</v>
      </c>
      <c r="AL2" s="231">
        <f t="shared" si="0"/>
        <v>0</v>
      </c>
      <c r="AM2" s="231">
        <f t="shared" si="0"/>
        <v>0</v>
      </c>
      <c r="AN2" s="231">
        <f t="shared" si="0"/>
        <v>0</v>
      </c>
      <c r="AO2" s="231">
        <f t="shared" si="0"/>
        <v>27</v>
      </c>
      <c r="AP2" s="231">
        <f t="shared" si="0"/>
        <v>1800000</v>
      </c>
      <c r="AQ2" s="231">
        <f t="shared" si="0"/>
        <v>3240000</v>
      </c>
      <c r="AR2" s="231">
        <f t="shared" si="0"/>
        <v>25</v>
      </c>
      <c r="AS2" s="231">
        <f t="shared" si="0"/>
        <v>8000</v>
      </c>
      <c r="AT2" s="231">
        <f t="shared" si="0"/>
        <v>100000</v>
      </c>
      <c r="AU2" s="231">
        <f>SUM(AU4:AU19)</f>
        <v>22550000</v>
      </c>
      <c r="AV2" s="231">
        <f>SUM(AV4:AV19)</f>
        <v>80050000</v>
      </c>
      <c r="AW2" s="231">
        <f t="shared" si="0"/>
        <v>0</v>
      </c>
      <c r="AX2" s="231">
        <f>SUM(AX4:AX19)</f>
        <v>79912000</v>
      </c>
      <c r="AY2" s="229"/>
      <c r="AZ2" s="232"/>
      <c r="BA2" s="374"/>
    </row>
    <row r="3" spans="1:85">
      <c r="A3" s="233"/>
      <c r="B3" s="233"/>
      <c r="C3" s="233"/>
      <c r="D3" s="234"/>
      <c r="E3" s="233"/>
      <c r="F3" s="233"/>
      <c r="G3" s="233"/>
      <c r="H3" s="233"/>
      <c r="I3" s="235"/>
      <c r="J3" s="233"/>
      <c r="K3" s="233"/>
      <c r="L3" s="233"/>
      <c r="M3" s="236" t="s">
        <v>236</v>
      </c>
      <c r="N3" s="233" t="s">
        <v>237</v>
      </c>
      <c r="O3" s="233"/>
      <c r="P3" s="237" t="s">
        <v>121</v>
      </c>
      <c r="Q3" s="237" t="s">
        <v>122</v>
      </c>
      <c r="R3" s="233" t="s">
        <v>123</v>
      </c>
      <c r="S3" s="233" t="s">
        <v>124</v>
      </c>
      <c r="T3" s="238" t="s">
        <v>125</v>
      </c>
      <c r="U3" s="237" t="s">
        <v>121</v>
      </c>
      <c r="V3" s="237" t="s">
        <v>126</v>
      </c>
      <c r="W3" s="233" t="s">
        <v>123</v>
      </c>
      <c r="X3" s="233" t="s">
        <v>124</v>
      </c>
      <c r="Y3" s="237" t="s">
        <v>125</v>
      </c>
      <c r="Z3" s="239" t="s">
        <v>123</v>
      </c>
      <c r="AA3" s="233" t="s">
        <v>124</v>
      </c>
      <c r="AB3" s="238" t="s">
        <v>125</v>
      </c>
      <c r="AC3" s="239" t="s">
        <v>123</v>
      </c>
      <c r="AD3" s="233" t="s">
        <v>124</v>
      </c>
      <c r="AE3" s="238" t="s">
        <v>125</v>
      </c>
      <c r="AF3" s="233" t="s">
        <v>123</v>
      </c>
      <c r="AG3" s="233" t="s">
        <v>124</v>
      </c>
      <c r="AH3" s="238" t="s">
        <v>125</v>
      </c>
      <c r="AI3" s="233" t="s">
        <v>123</v>
      </c>
      <c r="AJ3" s="233" t="s">
        <v>124</v>
      </c>
      <c r="AK3" s="238" t="s">
        <v>125</v>
      </c>
      <c r="AL3" s="233" t="s">
        <v>123</v>
      </c>
      <c r="AM3" s="233" t="s">
        <v>124</v>
      </c>
      <c r="AN3" s="238" t="s">
        <v>125</v>
      </c>
      <c r="AO3" s="233" t="s">
        <v>123</v>
      </c>
      <c r="AP3" s="233" t="s">
        <v>124</v>
      </c>
      <c r="AQ3" s="238" t="s">
        <v>125</v>
      </c>
      <c r="AR3" s="238" t="s">
        <v>123</v>
      </c>
      <c r="AS3" s="238" t="s">
        <v>124</v>
      </c>
      <c r="AT3" s="238" t="s">
        <v>125</v>
      </c>
      <c r="AU3" s="233"/>
      <c r="AV3" s="240"/>
      <c r="AW3" s="233"/>
      <c r="AX3" s="241"/>
      <c r="AY3" s="242">
        <f>AX3-AV3</f>
        <v>0</v>
      </c>
      <c r="AZ3" s="243"/>
      <c r="BA3" s="244"/>
    </row>
    <row r="4" spans="1:85" ht="19.5" customHeight="1">
      <c r="A4" s="311" t="s">
        <v>248</v>
      </c>
      <c r="B4" s="312" t="s">
        <v>144</v>
      </c>
      <c r="C4" s="313">
        <v>0</v>
      </c>
      <c r="D4" s="314" t="s">
        <v>238</v>
      </c>
      <c r="E4" s="313">
        <v>1</v>
      </c>
      <c r="F4" s="315"/>
      <c r="G4" s="315"/>
      <c r="H4" s="315"/>
      <c r="I4" s="315"/>
      <c r="J4" s="315"/>
      <c r="K4" s="313">
        <v>30</v>
      </c>
      <c r="L4" s="313">
        <v>30</v>
      </c>
      <c r="M4" s="316"/>
      <c r="N4" s="317"/>
      <c r="O4" s="318"/>
      <c r="P4" s="313"/>
      <c r="Q4" s="313"/>
      <c r="R4" s="313">
        <v>616</v>
      </c>
      <c r="S4" s="317">
        <v>3500</v>
      </c>
      <c r="T4" s="319">
        <f t="shared" ref="T4:T19" si="1">R4*S4</f>
        <v>2156000</v>
      </c>
      <c r="U4" s="313"/>
      <c r="V4" s="313"/>
      <c r="W4" s="318"/>
      <c r="X4" s="313"/>
      <c r="Y4" s="313"/>
      <c r="Z4" s="318"/>
      <c r="AA4" s="313"/>
      <c r="AB4" s="313"/>
      <c r="AC4" s="312"/>
      <c r="AD4" s="313"/>
      <c r="AE4" s="313"/>
      <c r="AF4" s="313"/>
      <c r="AG4" s="313"/>
      <c r="AH4" s="313"/>
      <c r="AI4" s="313"/>
      <c r="AJ4" s="313"/>
      <c r="AK4" s="313"/>
      <c r="AL4" s="318"/>
      <c r="AM4" s="313"/>
      <c r="AN4" s="320"/>
      <c r="AO4" s="313"/>
      <c r="AP4" s="313"/>
      <c r="AQ4" s="314"/>
      <c r="AR4" s="314"/>
      <c r="AS4" s="314"/>
      <c r="AT4" s="314"/>
      <c r="AU4" s="321">
        <f t="shared" ref="AU4:AU19" si="2">(SUM(T4,Y4,AB4,AE4,AH4,AK4,AN4,AQ4,AT4))</f>
        <v>2156000</v>
      </c>
      <c r="AV4" s="322">
        <f t="shared" ref="AV4:AV19" si="3">AU4+I4*E4+J4+M4+N4</f>
        <v>2156000</v>
      </c>
      <c r="AW4" s="313" t="s">
        <v>284</v>
      </c>
      <c r="AX4" s="323">
        <f>1856000+300000</f>
        <v>2156000</v>
      </c>
      <c r="AY4" s="324" t="str">
        <f t="shared" ref="AY4:AY19" si="4">IF(AND(AV4&gt;0,AX4=0),"Chưa TT",IF(AX4-AV4&gt;0,"Thừa",IF(AND(AV4=0,AX4=0),"Trống",IF(AND(AX4&gt;0,AV4=0),"Đóng cọc",IF(AX4-AV4&lt;0,"Thiếu",IF(AX4-AV4=0,"Đủ",0))))))</f>
        <v>Đủ</v>
      </c>
      <c r="AZ4" s="325">
        <f t="shared" ref="AZ4:AZ19" si="5">AX4-AV4</f>
        <v>0</v>
      </c>
      <c r="BA4" s="326"/>
      <c r="BB4" s="317"/>
      <c r="BC4" s="313"/>
      <c r="BD4" s="313"/>
      <c r="BE4" s="313"/>
      <c r="BF4" s="313"/>
      <c r="BG4" s="313"/>
      <c r="BH4" s="313"/>
      <c r="BI4" s="313"/>
      <c r="BJ4" s="313"/>
      <c r="BK4" s="313"/>
      <c r="BL4" s="317"/>
      <c r="BM4" s="313"/>
      <c r="BN4" s="313"/>
      <c r="BO4" s="313"/>
      <c r="BP4" s="313"/>
      <c r="BQ4" s="313"/>
      <c r="BR4" s="313"/>
      <c r="BS4" s="327"/>
      <c r="BT4" s="313"/>
      <c r="BU4" s="327"/>
      <c r="BV4" s="313"/>
      <c r="BW4" s="313"/>
      <c r="BX4" s="313"/>
      <c r="BY4" s="313"/>
      <c r="BZ4" s="313"/>
      <c r="CA4" s="313"/>
      <c r="CB4" s="313"/>
      <c r="CC4" s="313"/>
      <c r="CD4" s="313"/>
      <c r="CE4" s="313"/>
      <c r="CF4" s="313"/>
      <c r="CG4" s="313"/>
    </row>
    <row r="5" spans="1:85" ht="19.5" customHeight="1">
      <c r="A5" s="328" t="s">
        <v>37</v>
      </c>
      <c r="B5" s="328" t="s">
        <v>144</v>
      </c>
      <c r="C5" s="314">
        <v>101</v>
      </c>
      <c r="D5" s="314" t="s">
        <v>238</v>
      </c>
      <c r="E5" s="314">
        <v>1</v>
      </c>
      <c r="F5" s="329">
        <v>3500000</v>
      </c>
      <c r="G5" s="330">
        <v>3600000</v>
      </c>
      <c r="H5" s="329">
        <v>3500000</v>
      </c>
      <c r="I5" s="329">
        <v>3500000</v>
      </c>
      <c r="J5" s="329"/>
      <c r="K5" s="314">
        <v>30</v>
      </c>
      <c r="L5" s="314">
        <v>30</v>
      </c>
      <c r="M5" s="331"/>
      <c r="N5" s="319"/>
      <c r="O5" s="332">
        <v>1</v>
      </c>
      <c r="P5" s="314">
        <v>356</v>
      </c>
      <c r="Q5" s="314">
        <v>472</v>
      </c>
      <c r="R5" s="314">
        <f t="shared" ref="R5:R19" si="6">Q5-P5</f>
        <v>116</v>
      </c>
      <c r="S5" s="319">
        <v>4000</v>
      </c>
      <c r="T5" s="319">
        <f t="shared" si="1"/>
        <v>464000</v>
      </c>
      <c r="U5" s="314"/>
      <c r="V5" s="314"/>
      <c r="W5" s="332">
        <v>1</v>
      </c>
      <c r="X5" s="314">
        <v>120000</v>
      </c>
      <c r="Y5" s="314">
        <f t="shared" ref="Y5:Y19" si="7">W5*X5</f>
        <v>120000</v>
      </c>
      <c r="Z5" s="332"/>
      <c r="AA5" s="314"/>
      <c r="AB5" s="314"/>
      <c r="AC5" s="328">
        <v>1</v>
      </c>
      <c r="AD5" s="314">
        <v>100000</v>
      </c>
      <c r="AE5" s="314">
        <f t="shared" ref="AE5:AE19" si="8">AC5*AD5</f>
        <v>100000</v>
      </c>
      <c r="AF5" s="314">
        <v>1</v>
      </c>
      <c r="AG5" s="314">
        <v>60000</v>
      </c>
      <c r="AH5" s="314">
        <f t="shared" ref="AH5:AH19" si="9">AF5*AG5</f>
        <v>60000</v>
      </c>
      <c r="AI5" s="314"/>
      <c r="AJ5" s="314"/>
      <c r="AK5" s="314"/>
      <c r="AL5" s="332"/>
      <c r="AM5" s="314"/>
      <c r="AN5" s="333"/>
      <c r="AO5" s="314">
        <v>1</v>
      </c>
      <c r="AP5" s="314">
        <v>120000</v>
      </c>
      <c r="AQ5" s="314">
        <f t="shared" ref="AQ5:AQ19" si="10">AO5*AP5</f>
        <v>120000</v>
      </c>
      <c r="AR5" s="313"/>
      <c r="AS5" s="313"/>
      <c r="AT5" s="313">
        <f t="shared" ref="AT5:AT19" si="11">AR5*AS5</f>
        <v>0</v>
      </c>
      <c r="AU5" s="321">
        <f t="shared" si="2"/>
        <v>864000</v>
      </c>
      <c r="AV5" s="322">
        <f t="shared" si="3"/>
        <v>4364000</v>
      </c>
      <c r="AW5" s="314"/>
      <c r="AX5" s="334">
        <v>4364000</v>
      </c>
      <c r="AY5" s="324" t="str">
        <f t="shared" si="4"/>
        <v>Đủ</v>
      </c>
      <c r="AZ5" s="325">
        <f t="shared" si="5"/>
        <v>0</v>
      </c>
      <c r="BA5" s="335"/>
      <c r="BB5" s="319"/>
      <c r="BC5" s="314"/>
      <c r="BD5" s="314"/>
      <c r="BE5" s="314"/>
      <c r="BF5" s="314"/>
      <c r="BG5" s="314"/>
      <c r="BH5" s="314"/>
      <c r="BI5" s="314"/>
      <c r="BJ5" s="314"/>
      <c r="BK5" s="314"/>
      <c r="BL5" s="319"/>
      <c r="BM5" s="314"/>
      <c r="BN5" s="314"/>
      <c r="BO5" s="314"/>
      <c r="BP5" s="314"/>
      <c r="BQ5" s="314"/>
      <c r="BR5" s="314"/>
      <c r="BS5" s="336"/>
      <c r="BT5" s="314"/>
      <c r="BU5" s="336"/>
      <c r="BV5" s="314"/>
      <c r="BW5" s="314"/>
      <c r="BX5" s="314"/>
      <c r="BY5" s="314"/>
      <c r="BZ5" s="314"/>
      <c r="CA5" s="314"/>
      <c r="CB5" s="314"/>
      <c r="CC5" s="314"/>
      <c r="CD5" s="314"/>
      <c r="CE5" s="314"/>
      <c r="CF5" s="314"/>
      <c r="CG5" s="314"/>
    </row>
    <row r="6" spans="1:85" ht="17.25" customHeight="1">
      <c r="A6" s="328" t="s">
        <v>38</v>
      </c>
      <c r="B6" s="328" t="s">
        <v>144</v>
      </c>
      <c r="C6" s="314">
        <v>201</v>
      </c>
      <c r="D6" s="314" t="s">
        <v>238</v>
      </c>
      <c r="E6" s="314">
        <v>1</v>
      </c>
      <c r="F6" s="319">
        <v>4100000</v>
      </c>
      <c r="G6" s="330">
        <v>4200000</v>
      </c>
      <c r="H6" s="319">
        <v>4100000</v>
      </c>
      <c r="I6" s="319">
        <v>4100000</v>
      </c>
      <c r="J6" s="319"/>
      <c r="K6" s="314">
        <v>30</v>
      </c>
      <c r="L6" s="314">
        <v>30</v>
      </c>
      <c r="M6" s="331"/>
      <c r="N6" s="319"/>
      <c r="O6" s="328">
        <v>2</v>
      </c>
      <c r="P6" s="314">
        <v>267</v>
      </c>
      <c r="Q6" s="314">
        <v>375</v>
      </c>
      <c r="R6" s="314">
        <f t="shared" si="6"/>
        <v>108</v>
      </c>
      <c r="S6" s="319">
        <v>4000</v>
      </c>
      <c r="T6" s="319">
        <f t="shared" si="1"/>
        <v>432000</v>
      </c>
      <c r="U6" s="314"/>
      <c r="V6" s="314"/>
      <c r="W6" s="332">
        <v>2</v>
      </c>
      <c r="X6" s="314">
        <v>120000</v>
      </c>
      <c r="Y6" s="314">
        <f t="shared" si="7"/>
        <v>240000</v>
      </c>
      <c r="Z6" s="328"/>
      <c r="AA6" s="314"/>
      <c r="AB6" s="314"/>
      <c r="AC6" s="314">
        <v>1</v>
      </c>
      <c r="AD6" s="314">
        <v>100000</v>
      </c>
      <c r="AE6" s="314">
        <f t="shared" si="8"/>
        <v>100000</v>
      </c>
      <c r="AF6" s="314">
        <v>2</v>
      </c>
      <c r="AG6" s="314">
        <v>60000</v>
      </c>
      <c r="AH6" s="314">
        <f t="shared" si="9"/>
        <v>120000</v>
      </c>
      <c r="AI6" s="314">
        <v>1</v>
      </c>
      <c r="AJ6" s="314">
        <v>150000</v>
      </c>
      <c r="AK6" s="314">
        <f>AI6*AJ6</f>
        <v>150000</v>
      </c>
      <c r="AL6" s="328"/>
      <c r="AM6" s="314"/>
      <c r="AN6" s="333"/>
      <c r="AO6" s="314">
        <v>2</v>
      </c>
      <c r="AP6" s="314">
        <v>120000</v>
      </c>
      <c r="AQ6" s="319">
        <f t="shared" si="10"/>
        <v>240000</v>
      </c>
      <c r="AR6" s="317"/>
      <c r="AS6" s="317"/>
      <c r="AT6" s="313">
        <f t="shared" si="11"/>
        <v>0</v>
      </c>
      <c r="AU6" s="321">
        <f t="shared" si="2"/>
        <v>1282000</v>
      </c>
      <c r="AV6" s="322">
        <f t="shared" si="3"/>
        <v>5382000</v>
      </c>
      <c r="AW6" s="314"/>
      <c r="AX6" s="334">
        <v>5382000</v>
      </c>
      <c r="AY6" s="324" t="str">
        <f t="shared" si="4"/>
        <v>Đủ</v>
      </c>
      <c r="AZ6" s="325">
        <f t="shared" si="5"/>
        <v>0</v>
      </c>
      <c r="BA6" s="335"/>
      <c r="BB6" s="319"/>
      <c r="BC6" s="314"/>
      <c r="BD6" s="314"/>
      <c r="BE6" s="314"/>
      <c r="BF6" s="314"/>
      <c r="BG6" s="314"/>
      <c r="BH6" s="314"/>
      <c r="BI6" s="314"/>
      <c r="BJ6" s="314"/>
      <c r="BK6" s="314"/>
      <c r="BL6" s="319"/>
      <c r="BM6" s="314"/>
      <c r="BN6" s="314"/>
      <c r="BO6" s="314"/>
      <c r="BP6" s="314"/>
      <c r="BQ6" s="314"/>
      <c r="BR6" s="314"/>
      <c r="BS6" s="336"/>
      <c r="BT6" s="314"/>
      <c r="BU6" s="336"/>
      <c r="BV6" s="314"/>
      <c r="BW6" s="314"/>
      <c r="BX6" s="314"/>
      <c r="BY6" s="314"/>
      <c r="BZ6" s="314"/>
      <c r="CA6" s="314">
        <v>1935</v>
      </c>
      <c r="CB6" s="314">
        <v>1967</v>
      </c>
      <c r="CC6" s="314">
        <f t="shared" ref="CC6:CC10" si="12">CB6-CA6</f>
        <v>32</v>
      </c>
      <c r="CD6" s="314">
        <v>3800</v>
      </c>
      <c r="CE6" s="314">
        <f t="shared" ref="CE6:CE10" si="13">CC6*CD6</f>
        <v>121600</v>
      </c>
      <c r="CF6" s="314"/>
      <c r="CG6" s="314">
        <f t="shared" ref="CG6:CG10" si="14">CE6/3</f>
        <v>40533.333333333336</v>
      </c>
    </row>
    <row r="7" spans="1:85" ht="17.25" customHeight="1">
      <c r="A7" s="328" t="s">
        <v>39</v>
      </c>
      <c r="B7" s="328" t="s">
        <v>144</v>
      </c>
      <c r="C7" s="314">
        <v>202</v>
      </c>
      <c r="D7" s="314" t="s">
        <v>238</v>
      </c>
      <c r="E7" s="314">
        <v>1</v>
      </c>
      <c r="F7" s="319">
        <v>3800000</v>
      </c>
      <c r="G7" s="330">
        <v>4000000</v>
      </c>
      <c r="H7" s="319">
        <v>3800000</v>
      </c>
      <c r="I7" s="319">
        <v>3800000</v>
      </c>
      <c r="J7" s="319"/>
      <c r="K7" s="314">
        <v>30</v>
      </c>
      <c r="L7" s="314">
        <v>30</v>
      </c>
      <c r="M7" s="331"/>
      <c r="N7" s="319"/>
      <c r="O7" s="328">
        <v>2</v>
      </c>
      <c r="P7" s="314">
        <v>732</v>
      </c>
      <c r="Q7" s="314">
        <v>1071</v>
      </c>
      <c r="R7" s="314">
        <f t="shared" si="6"/>
        <v>339</v>
      </c>
      <c r="S7" s="319">
        <v>4000</v>
      </c>
      <c r="T7" s="319">
        <f t="shared" si="1"/>
        <v>1356000</v>
      </c>
      <c r="U7" s="314"/>
      <c r="V7" s="314"/>
      <c r="W7" s="332">
        <v>2</v>
      </c>
      <c r="X7" s="314">
        <v>120000</v>
      </c>
      <c r="Y7" s="314">
        <f t="shared" si="7"/>
        <v>240000</v>
      </c>
      <c r="Z7" s="328"/>
      <c r="AA7" s="314"/>
      <c r="AB7" s="314"/>
      <c r="AC7" s="314">
        <v>1</v>
      </c>
      <c r="AD7" s="314">
        <v>100000</v>
      </c>
      <c r="AE7" s="314">
        <f t="shared" si="8"/>
        <v>100000</v>
      </c>
      <c r="AF7" s="314">
        <v>2</v>
      </c>
      <c r="AG7" s="314">
        <v>60000</v>
      </c>
      <c r="AH7" s="314">
        <f t="shared" si="9"/>
        <v>120000</v>
      </c>
      <c r="AI7" s="314"/>
      <c r="AJ7" s="314"/>
      <c r="AK7" s="314"/>
      <c r="AL7" s="328"/>
      <c r="AM7" s="314"/>
      <c r="AN7" s="333">
        <f>AL7*AM7</f>
        <v>0</v>
      </c>
      <c r="AO7" s="314">
        <v>2</v>
      </c>
      <c r="AP7" s="314">
        <v>120000</v>
      </c>
      <c r="AQ7" s="319">
        <f t="shared" si="10"/>
        <v>240000</v>
      </c>
      <c r="AR7" s="317"/>
      <c r="AS7" s="317"/>
      <c r="AT7" s="313">
        <f t="shared" si="11"/>
        <v>0</v>
      </c>
      <c r="AU7" s="321">
        <f t="shared" si="2"/>
        <v>2056000</v>
      </c>
      <c r="AV7" s="322">
        <f t="shared" si="3"/>
        <v>5856000</v>
      </c>
      <c r="AW7" s="314"/>
      <c r="AX7" s="334">
        <v>5856000</v>
      </c>
      <c r="AY7" s="324" t="str">
        <f t="shared" si="4"/>
        <v>Đủ</v>
      </c>
      <c r="AZ7" s="325">
        <f t="shared" si="5"/>
        <v>0</v>
      </c>
      <c r="BA7" s="335"/>
      <c r="BB7" s="319"/>
      <c r="BC7" s="314"/>
      <c r="BD7" s="314"/>
      <c r="BE7" s="314"/>
      <c r="BF7" s="314"/>
      <c r="BG7" s="314"/>
      <c r="BH7" s="314"/>
      <c r="BI7" s="314"/>
      <c r="BJ7" s="314"/>
      <c r="BK7" s="314"/>
      <c r="BL7" s="319"/>
      <c r="BM7" s="314"/>
      <c r="BN7" s="314"/>
      <c r="BO7" s="314"/>
      <c r="BP7" s="314"/>
      <c r="BQ7" s="314"/>
      <c r="BR7" s="314"/>
      <c r="BS7" s="336"/>
      <c r="BT7" s="314"/>
      <c r="BU7" s="336"/>
      <c r="BV7" s="314"/>
      <c r="BW7" s="314"/>
      <c r="BX7" s="314"/>
      <c r="BY7" s="314"/>
      <c r="BZ7" s="314"/>
      <c r="CA7" s="314">
        <v>1935</v>
      </c>
      <c r="CB7" s="314">
        <v>1967</v>
      </c>
      <c r="CC7" s="314">
        <f t="shared" si="12"/>
        <v>32</v>
      </c>
      <c r="CD7" s="314">
        <v>3800</v>
      </c>
      <c r="CE7" s="314">
        <f t="shared" si="13"/>
        <v>121600</v>
      </c>
      <c r="CF7" s="314"/>
      <c r="CG7" s="314">
        <f t="shared" si="14"/>
        <v>40533.333333333336</v>
      </c>
    </row>
    <row r="8" spans="1:85" ht="18" customHeight="1">
      <c r="A8" s="328" t="s">
        <v>40</v>
      </c>
      <c r="B8" s="328" t="s">
        <v>144</v>
      </c>
      <c r="C8" s="314">
        <v>203</v>
      </c>
      <c r="D8" s="314" t="s">
        <v>238</v>
      </c>
      <c r="E8" s="314">
        <v>1</v>
      </c>
      <c r="F8" s="319">
        <v>3800000</v>
      </c>
      <c r="G8" s="330">
        <v>4300000</v>
      </c>
      <c r="H8" s="319">
        <v>3800000</v>
      </c>
      <c r="I8" s="319">
        <v>3800000</v>
      </c>
      <c r="J8" s="319"/>
      <c r="K8" s="314">
        <v>30</v>
      </c>
      <c r="L8" s="314">
        <v>30</v>
      </c>
      <c r="M8" s="331"/>
      <c r="N8" s="319"/>
      <c r="O8" s="328">
        <v>1</v>
      </c>
      <c r="P8" s="314">
        <v>85</v>
      </c>
      <c r="Q8" s="314">
        <v>138</v>
      </c>
      <c r="R8" s="314">
        <f t="shared" si="6"/>
        <v>53</v>
      </c>
      <c r="S8" s="319">
        <v>4000</v>
      </c>
      <c r="T8" s="319">
        <f t="shared" si="1"/>
        <v>212000</v>
      </c>
      <c r="U8" s="314"/>
      <c r="V8" s="314"/>
      <c r="W8" s="332">
        <v>1</v>
      </c>
      <c r="X8" s="314">
        <v>120000</v>
      </c>
      <c r="Y8" s="314">
        <f t="shared" si="7"/>
        <v>120000</v>
      </c>
      <c r="Z8" s="328"/>
      <c r="AA8" s="314"/>
      <c r="AB8" s="314"/>
      <c r="AC8" s="314"/>
      <c r="AD8" s="314">
        <v>100000</v>
      </c>
      <c r="AE8" s="314">
        <f t="shared" si="8"/>
        <v>0</v>
      </c>
      <c r="AF8" s="314"/>
      <c r="AG8" s="314">
        <v>60000</v>
      </c>
      <c r="AH8" s="314">
        <f t="shared" si="9"/>
        <v>0</v>
      </c>
      <c r="AI8" s="314"/>
      <c r="AJ8" s="314"/>
      <c r="AK8" s="314"/>
      <c r="AL8" s="328"/>
      <c r="AM8" s="314"/>
      <c r="AN8" s="333"/>
      <c r="AO8" s="314">
        <v>1</v>
      </c>
      <c r="AP8" s="314">
        <v>120000</v>
      </c>
      <c r="AQ8" s="319">
        <f t="shared" si="10"/>
        <v>120000</v>
      </c>
      <c r="AR8" s="317"/>
      <c r="AS8" s="317"/>
      <c r="AT8" s="313">
        <f t="shared" si="11"/>
        <v>0</v>
      </c>
      <c r="AU8" s="321">
        <f t="shared" si="2"/>
        <v>452000</v>
      </c>
      <c r="AV8" s="322">
        <f t="shared" si="3"/>
        <v>4252000</v>
      </c>
      <c r="AW8" s="314"/>
      <c r="AX8" s="334">
        <v>4252000</v>
      </c>
      <c r="AY8" s="324" t="str">
        <f t="shared" si="4"/>
        <v>Đủ</v>
      </c>
      <c r="AZ8" s="325">
        <f t="shared" si="5"/>
        <v>0</v>
      </c>
      <c r="BA8" s="335"/>
      <c r="BB8" s="319"/>
      <c r="BC8" s="314"/>
      <c r="BD8" s="314"/>
      <c r="BE8" s="314"/>
      <c r="BF8" s="314"/>
      <c r="BG8" s="314"/>
      <c r="BH8" s="314"/>
      <c r="BI8" s="314"/>
      <c r="BJ8" s="314"/>
      <c r="BK8" s="314"/>
      <c r="BL8" s="319"/>
      <c r="BM8" s="314"/>
      <c r="BN8" s="314"/>
      <c r="BO8" s="314"/>
      <c r="BP8" s="314"/>
      <c r="BQ8" s="314"/>
      <c r="BR8" s="314"/>
      <c r="BS8" s="336"/>
      <c r="BT8" s="314"/>
      <c r="BU8" s="336"/>
      <c r="BV8" s="314"/>
      <c r="BW8" s="314"/>
      <c r="BX8" s="314"/>
      <c r="BY8" s="314"/>
      <c r="BZ8" s="314"/>
      <c r="CA8" s="314">
        <v>144</v>
      </c>
      <c r="CB8" s="314">
        <v>209</v>
      </c>
      <c r="CC8" s="314">
        <f t="shared" si="12"/>
        <v>65</v>
      </c>
      <c r="CD8" s="314">
        <v>3800</v>
      </c>
      <c r="CE8" s="314">
        <f t="shared" si="13"/>
        <v>247000</v>
      </c>
      <c r="CF8" s="314"/>
      <c r="CG8" s="314">
        <f t="shared" si="14"/>
        <v>82333.333333333328</v>
      </c>
    </row>
    <row r="9" spans="1:85" ht="17.25" customHeight="1">
      <c r="A9" s="328" t="s">
        <v>41</v>
      </c>
      <c r="B9" s="328" t="s">
        <v>144</v>
      </c>
      <c r="C9" s="314">
        <v>301</v>
      </c>
      <c r="D9" s="314" t="s">
        <v>238</v>
      </c>
      <c r="E9" s="314">
        <v>1</v>
      </c>
      <c r="F9" s="319">
        <v>3900000</v>
      </c>
      <c r="G9" s="330">
        <v>4200000</v>
      </c>
      <c r="H9" s="319">
        <v>3900000</v>
      </c>
      <c r="I9" s="319">
        <v>3900000</v>
      </c>
      <c r="J9" s="319"/>
      <c r="K9" s="314">
        <v>30</v>
      </c>
      <c r="L9" s="314">
        <v>30</v>
      </c>
      <c r="M9" s="331"/>
      <c r="N9" s="319"/>
      <c r="O9" s="328">
        <v>1</v>
      </c>
      <c r="P9" s="314">
        <v>245</v>
      </c>
      <c r="Q9" s="314">
        <v>343</v>
      </c>
      <c r="R9" s="314">
        <f t="shared" si="6"/>
        <v>98</v>
      </c>
      <c r="S9" s="319">
        <v>4000</v>
      </c>
      <c r="T9" s="319">
        <f t="shared" si="1"/>
        <v>392000</v>
      </c>
      <c r="U9" s="314"/>
      <c r="V9" s="314"/>
      <c r="W9" s="332">
        <v>1</v>
      </c>
      <c r="X9" s="314">
        <v>120000</v>
      </c>
      <c r="Y9" s="314">
        <f t="shared" si="7"/>
        <v>120000</v>
      </c>
      <c r="Z9" s="328"/>
      <c r="AA9" s="314"/>
      <c r="AB9" s="314"/>
      <c r="AC9" s="314">
        <v>1</v>
      </c>
      <c r="AD9" s="314">
        <v>100000</v>
      </c>
      <c r="AE9" s="314">
        <f t="shared" si="8"/>
        <v>100000</v>
      </c>
      <c r="AF9" s="314">
        <v>1</v>
      </c>
      <c r="AG9" s="314">
        <v>60000</v>
      </c>
      <c r="AH9" s="314">
        <f t="shared" si="9"/>
        <v>60000</v>
      </c>
      <c r="AI9" s="314">
        <v>1</v>
      </c>
      <c r="AJ9" s="314">
        <v>150000</v>
      </c>
      <c r="AK9" s="314">
        <f t="shared" ref="AK9:AK10" si="15">AI9*AJ9</f>
        <v>150000</v>
      </c>
      <c r="AL9" s="328"/>
      <c r="AM9" s="314"/>
      <c r="AN9" s="333"/>
      <c r="AO9" s="314">
        <v>1</v>
      </c>
      <c r="AP9" s="314">
        <v>120000</v>
      </c>
      <c r="AQ9" s="319">
        <f t="shared" si="10"/>
        <v>120000</v>
      </c>
      <c r="AR9" s="317"/>
      <c r="AS9" s="317"/>
      <c r="AT9" s="313">
        <f t="shared" si="11"/>
        <v>0</v>
      </c>
      <c r="AU9" s="321">
        <f t="shared" si="2"/>
        <v>942000</v>
      </c>
      <c r="AV9" s="322">
        <f t="shared" si="3"/>
        <v>4842000</v>
      </c>
      <c r="AW9" s="314"/>
      <c r="AX9" s="334">
        <v>4842000</v>
      </c>
      <c r="AY9" s="324" t="str">
        <f t="shared" si="4"/>
        <v>Đủ</v>
      </c>
      <c r="AZ9" s="325">
        <f t="shared" si="5"/>
        <v>0</v>
      </c>
      <c r="BA9" s="335"/>
      <c r="BB9" s="319"/>
      <c r="BC9" s="314"/>
      <c r="BD9" s="314"/>
      <c r="BE9" s="314"/>
      <c r="BF9" s="314"/>
      <c r="BG9" s="314"/>
      <c r="BH9" s="314"/>
      <c r="BI9" s="314"/>
      <c r="BJ9" s="314"/>
      <c r="BK9" s="314"/>
      <c r="BL9" s="319"/>
      <c r="BM9" s="314"/>
      <c r="BN9" s="314"/>
      <c r="BO9" s="314"/>
      <c r="BP9" s="314"/>
      <c r="BQ9" s="314"/>
      <c r="BR9" s="314"/>
      <c r="BS9" s="336"/>
      <c r="BT9" s="314"/>
      <c r="BU9" s="336"/>
      <c r="BV9" s="314"/>
      <c r="BW9" s="314"/>
      <c r="BX9" s="314"/>
      <c r="BY9" s="314"/>
      <c r="BZ9" s="314"/>
      <c r="CA9" s="314">
        <v>144</v>
      </c>
      <c r="CB9" s="314">
        <v>209</v>
      </c>
      <c r="CC9" s="314">
        <f t="shared" si="12"/>
        <v>65</v>
      </c>
      <c r="CD9" s="314">
        <v>3800</v>
      </c>
      <c r="CE9" s="314">
        <f t="shared" si="13"/>
        <v>247000</v>
      </c>
      <c r="CF9" s="314"/>
      <c r="CG9" s="314">
        <f t="shared" si="14"/>
        <v>82333.333333333328</v>
      </c>
    </row>
    <row r="10" spans="1:85" ht="15.75" customHeight="1">
      <c r="A10" s="328" t="s">
        <v>42</v>
      </c>
      <c r="B10" s="328" t="s">
        <v>144</v>
      </c>
      <c r="C10" s="314">
        <v>302</v>
      </c>
      <c r="D10" s="314" t="s">
        <v>238</v>
      </c>
      <c r="E10" s="314">
        <v>1</v>
      </c>
      <c r="F10" s="329">
        <v>3800000</v>
      </c>
      <c r="G10" s="330">
        <v>4000000</v>
      </c>
      <c r="H10" s="329">
        <v>3800000</v>
      </c>
      <c r="I10" s="329">
        <v>3800000</v>
      </c>
      <c r="J10" s="337"/>
      <c r="K10" s="314">
        <v>30</v>
      </c>
      <c r="L10" s="314">
        <v>30</v>
      </c>
      <c r="M10" s="331"/>
      <c r="N10" s="319"/>
      <c r="O10" s="328">
        <v>2</v>
      </c>
      <c r="P10" s="314">
        <v>199</v>
      </c>
      <c r="Q10" s="314">
        <v>351</v>
      </c>
      <c r="R10" s="314">
        <f t="shared" si="6"/>
        <v>152</v>
      </c>
      <c r="S10" s="319">
        <v>4000</v>
      </c>
      <c r="T10" s="319">
        <f t="shared" si="1"/>
        <v>608000</v>
      </c>
      <c r="U10" s="314"/>
      <c r="V10" s="314"/>
      <c r="W10" s="332">
        <v>2</v>
      </c>
      <c r="X10" s="314">
        <v>120000</v>
      </c>
      <c r="Y10" s="314">
        <f t="shared" si="7"/>
        <v>240000</v>
      </c>
      <c r="Z10" s="328"/>
      <c r="AA10" s="314"/>
      <c r="AB10" s="314"/>
      <c r="AC10" s="314">
        <v>1</v>
      </c>
      <c r="AD10" s="314">
        <v>100000</v>
      </c>
      <c r="AE10" s="314">
        <f t="shared" si="8"/>
        <v>100000</v>
      </c>
      <c r="AF10" s="314">
        <v>2</v>
      </c>
      <c r="AG10" s="314">
        <v>60000</v>
      </c>
      <c r="AH10" s="314">
        <f t="shared" si="9"/>
        <v>120000</v>
      </c>
      <c r="AI10" s="314">
        <v>1</v>
      </c>
      <c r="AJ10" s="314">
        <v>150000</v>
      </c>
      <c r="AK10" s="314">
        <f t="shared" si="15"/>
        <v>150000</v>
      </c>
      <c r="AL10" s="328"/>
      <c r="AM10" s="314"/>
      <c r="AN10" s="333"/>
      <c r="AO10" s="314">
        <v>2</v>
      </c>
      <c r="AP10" s="314">
        <v>120000</v>
      </c>
      <c r="AQ10" s="319">
        <f t="shared" si="10"/>
        <v>240000</v>
      </c>
      <c r="AR10" s="317"/>
      <c r="AS10" s="317"/>
      <c r="AT10" s="313">
        <f t="shared" si="11"/>
        <v>0</v>
      </c>
      <c r="AU10" s="321">
        <f t="shared" si="2"/>
        <v>1458000</v>
      </c>
      <c r="AV10" s="322">
        <f t="shared" si="3"/>
        <v>5258000</v>
      </c>
      <c r="AW10" s="314"/>
      <c r="AX10" s="334">
        <v>5258000</v>
      </c>
      <c r="AY10" s="324" t="str">
        <f t="shared" si="4"/>
        <v>Đủ</v>
      </c>
      <c r="AZ10" s="325">
        <f t="shared" si="5"/>
        <v>0</v>
      </c>
      <c r="BA10" s="335"/>
      <c r="BB10" s="319"/>
      <c r="BC10" s="314"/>
      <c r="BD10" s="314"/>
      <c r="BE10" s="314"/>
      <c r="BF10" s="314"/>
      <c r="BG10" s="314"/>
      <c r="BH10" s="314"/>
      <c r="BI10" s="314"/>
      <c r="BJ10" s="314"/>
      <c r="BK10" s="314"/>
      <c r="BL10" s="319"/>
      <c r="BM10" s="314"/>
      <c r="BN10" s="314"/>
      <c r="BO10" s="314"/>
      <c r="BP10" s="314"/>
      <c r="BQ10" s="314"/>
      <c r="BR10" s="314"/>
      <c r="BS10" s="336"/>
      <c r="BT10" s="314"/>
      <c r="BU10" s="336"/>
      <c r="BV10" s="314"/>
      <c r="BW10" s="314"/>
      <c r="BX10" s="314"/>
      <c r="BY10" s="314"/>
      <c r="BZ10" s="314"/>
      <c r="CA10" s="314">
        <v>144</v>
      </c>
      <c r="CB10" s="314">
        <v>209</v>
      </c>
      <c r="CC10" s="314">
        <f t="shared" si="12"/>
        <v>65</v>
      </c>
      <c r="CD10" s="314">
        <v>3800</v>
      </c>
      <c r="CE10" s="314">
        <f t="shared" si="13"/>
        <v>247000</v>
      </c>
      <c r="CF10" s="314"/>
      <c r="CG10" s="314">
        <f t="shared" si="14"/>
        <v>82333.333333333328</v>
      </c>
    </row>
    <row r="11" spans="1:85" ht="19.5" customHeight="1">
      <c r="A11" s="328" t="s">
        <v>43</v>
      </c>
      <c r="B11" s="328" t="s">
        <v>144</v>
      </c>
      <c r="C11" s="314">
        <v>303</v>
      </c>
      <c r="D11" s="314" t="s">
        <v>238</v>
      </c>
      <c r="E11" s="314">
        <v>1</v>
      </c>
      <c r="F11" s="329">
        <v>4000000</v>
      </c>
      <c r="G11" s="330">
        <v>4300000</v>
      </c>
      <c r="H11" s="329">
        <v>4000000</v>
      </c>
      <c r="I11" s="329">
        <v>4000000</v>
      </c>
      <c r="J11" s="337"/>
      <c r="K11" s="314">
        <v>30</v>
      </c>
      <c r="L11" s="314">
        <v>30</v>
      </c>
      <c r="M11" s="331"/>
      <c r="N11" s="319"/>
      <c r="O11" s="332">
        <v>3</v>
      </c>
      <c r="P11" s="314">
        <v>670</v>
      </c>
      <c r="Q11" s="314">
        <v>856</v>
      </c>
      <c r="R11" s="314">
        <f t="shared" si="6"/>
        <v>186</v>
      </c>
      <c r="S11" s="319">
        <v>4000</v>
      </c>
      <c r="T11" s="319">
        <f t="shared" si="1"/>
        <v>744000</v>
      </c>
      <c r="U11" s="314"/>
      <c r="V11" s="314"/>
      <c r="W11" s="332">
        <v>3</v>
      </c>
      <c r="X11" s="314">
        <v>120000</v>
      </c>
      <c r="Y11" s="314">
        <f t="shared" si="7"/>
        <v>360000</v>
      </c>
      <c r="Z11" s="332"/>
      <c r="AA11" s="314"/>
      <c r="AB11" s="314">
        <f t="shared" ref="AB11:AB12" si="16">Z11*AA11</f>
        <v>0</v>
      </c>
      <c r="AC11" s="328"/>
      <c r="AD11" s="314">
        <v>100000</v>
      </c>
      <c r="AE11" s="314">
        <f t="shared" si="8"/>
        <v>0</v>
      </c>
      <c r="AF11" s="314">
        <v>3</v>
      </c>
      <c r="AG11" s="314">
        <v>60000</v>
      </c>
      <c r="AH11" s="314">
        <f t="shared" si="9"/>
        <v>180000</v>
      </c>
      <c r="AI11" s="314"/>
      <c r="AJ11" s="314"/>
      <c r="AK11" s="314"/>
      <c r="AL11" s="332"/>
      <c r="AM11" s="314"/>
      <c r="AN11" s="333"/>
      <c r="AO11" s="314">
        <v>3</v>
      </c>
      <c r="AP11" s="314">
        <v>120000</v>
      </c>
      <c r="AQ11" s="314">
        <f t="shared" si="10"/>
        <v>360000</v>
      </c>
      <c r="AR11" s="313"/>
      <c r="AS11" s="313"/>
      <c r="AT11" s="313">
        <f t="shared" si="11"/>
        <v>0</v>
      </c>
      <c r="AU11" s="321">
        <f t="shared" si="2"/>
        <v>1644000</v>
      </c>
      <c r="AV11" s="322">
        <f t="shared" si="3"/>
        <v>5644000</v>
      </c>
      <c r="AW11" s="314"/>
      <c r="AX11" s="334">
        <v>5644000</v>
      </c>
      <c r="AY11" s="324" t="str">
        <f t="shared" si="4"/>
        <v>Đủ</v>
      </c>
      <c r="AZ11" s="325">
        <f t="shared" si="5"/>
        <v>0</v>
      </c>
      <c r="BA11" s="335"/>
      <c r="BB11" s="319"/>
      <c r="BC11" s="314"/>
      <c r="BD11" s="314"/>
      <c r="BE11" s="314"/>
      <c r="BF11" s="314"/>
      <c r="BG11" s="314"/>
      <c r="BH11" s="314"/>
      <c r="BI11" s="314"/>
      <c r="BJ11" s="314"/>
      <c r="BK11" s="314"/>
      <c r="BL11" s="319"/>
      <c r="BM11" s="314"/>
      <c r="BN11" s="314"/>
      <c r="BO11" s="314"/>
      <c r="BP11" s="314"/>
      <c r="BQ11" s="314"/>
      <c r="BR11" s="314"/>
      <c r="BS11" s="336"/>
      <c r="BT11" s="314"/>
      <c r="BU11" s="336"/>
      <c r="BV11" s="314"/>
      <c r="BW11" s="314"/>
      <c r="BX11" s="314"/>
      <c r="BY11" s="314"/>
      <c r="BZ11" s="314"/>
      <c r="CA11" s="314"/>
      <c r="CB11" s="314"/>
      <c r="CC11" s="314"/>
      <c r="CD11" s="314"/>
      <c r="CE11" s="314"/>
      <c r="CF11" s="314"/>
      <c r="CG11" s="314"/>
    </row>
    <row r="12" spans="1:85" ht="21.75" customHeight="1">
      <c r="A12" s="328" t="s">
        <v>44</v>
      </c>
      <c r="B12" s="328" t="s">
        <v>144</v>
      </c>
      <c r="C12" s="314">
        <v>304</v>
      </c>
      <c r="D12" s="314" t="s">
        <v>238</v>
      </c>
      <c r="E12" s="314">
        <v>1</v>
      </c>
      <c r="F12" s="329">
        <v>4100000</v>
      </c>
      <c r="G12" s="330">
        <v>4400000</v>
      </c>
      <c r="H12" s="329">
        <v>4100000</v>
      </c>
      <c r="I12" s="329">
        <v>4100000</v>
      </c>
      <c r="J12" s="337"/>
      <c r="K12" s="338">
        <v>30</v>
      </c>
      <c r="L12" s="314">
        <v>30</v>
      </c>
      <c r="M12" s="331"/>
      <c r="N12" s="319"/>
      <c r="O12" s="339">
        <v>2</v>
      </c>
      <c r="P12" s="314">
        <v>326</v>
      </c>
      <c r="Q12" s="314">
        <v>458</v>
      </c>
      <c r="R12" s="314">
        <f t="shared" si="6"/>
        <v>132</v>
      </c>
      <c r="S12" s="319">
        <v>4000</v>
      </c>
      <c r="T12" s="319">
        <f t="shared" si="1"/>
        <v>528000</v>
      </c>
      <c r="U12" s="314"/>
      <c r="V12" s="314"/>
      <c r="W12" s="332">
        <v>2</v>
      </c>
      <c r="X12" s="314">
        <v>120000</v>
      </c>
      <c r="Y12" s="314">
        <f t="shared" si="7"/>
        <v>240000</v>
      </c>
      <c r="Z12" s="339"/>
      <c r="AA12" s="314"/>
      <c r="AB12" s="314">
        <f t="shared" si="16"/>
        <v>0</v>
      </c>
      <c r="AC12" s="328">
        <v>1</v>
      </c>
      <c r="AD12" s="314">
        <v>100000</v>
      </c>
      <c r="AE12" s="314">
        <f t="shared" si="8"/>
        <v>100000</v>
      </c>
      <c r="AF12" s="314">
        <v>2</v>
      </c>
      <c r="AG12" s="314">
        <v>60000</v>
      </c>
      <c r="AH12" s="314">
        <f t="shared" si="9"/>
        <v>120000</v>
      </c>
      <c r="AI12" s="314"/>
      <c r="AJ12" s="314"/>
      <c r="AK12" s="314"/>
      <c r="AL12" s="339"/>
      <c r="AM12" s="314"/>
      <c r="AN12" s="333"/>
      <c r="AO12" s="314">
        <v>2</v>
      </c>
      <c r="AP12" s="314">
        <v>120000</v>
      </c>
      <c r="AQ12" s="314">
        <f t="shared" si="10"/>
        <v>240000</v>
      </c>
      <c r="AR12" s="313"/>
      <c r="AS12" s="313"/>
      <c r="AT12" s="313">
        <f t="shared" si="11"/>
        <v>0</v>
      </c>
      <c r="AU12" s="321">
        <f t="shared" si="2"/>
        <v>1228000</v>
      </c>
      <c r="AV12" s="322">
        <f t="shared" si="3"/>
        <v>5328000</v>
      </c>
      <c r="AW12" s="314"/>
      <c r="AX12" s="334">
        <v>5328000</v>
      </c>
      <c r="AY12" s="324" t="str">
        <f t="shared" si="4"/>
        <v>Đủ</v>
      </c>
      <c r="AZ12" s="325">
        <f t="shared" si="5"/>
        <v>0</v>
      </c>
      <c r="BA12" s="335"/>
      <c r="BB12" s="319"/>
      <c r="BC12" s="314"/>
      <c r="BD12" s="314"/>
      <c r="BE12" s="314"/>
      <c r="BF12" s="314"/>
      <c r="BG12" s="314"/>
      <c r="BH12" s="314"/>
      <c r="BI12" s="314"/>
      <c r="BJ12" s="314"/>
      <c r="BK12" s="314"/>
      <c r="BL12" s="319"/>
      <c r="BM12" s="314"/>
      <c r="BN12" s="314"/>
      <c r="BO12" s="314"/>
      <c r="BP12" s="314"/>
      <c r="BQ12" s="314"/>
      <c r="BR12" s="314"/>
      <c r="BS12" s="336"/>
      <c r="BT12" s="314"/>
      <c r="BU12" s="336"/>
      <c r="BV12" s="314"/>
      <c r="BW12" s="314"/>
      <c r="BX12" s="314"/>
      <c r="BY12" s="314"/>
      <c r="BZ12" s="314"/>
      <c r="CA12" s="314"/>
      <c r="CB12" s="314"/>
      <c r="CC12" s="314"/>
      <c r="CD12" s="314"/>
      <c r="CE12" s="314"/>
      <c r="CF12" s="314"/>
      <c r="CG12" s="314"/>
    </row>
    <row r="13" spans="1:85" ht="21.75" customHeight="1">
      <c r="A13" s="328" t="s">
        <v>45</v>
      </c>
      <c r="B13" s="328" t="s">
        <v>144</v>
      </c>
      <c r="C13" s="314">
        <v>401</v>
      </c>
      <c r="D13" s="314" t="s">
        <v>238</v>
      </c>
      <c r="E13" s="314">
        <v>1</v>
      </c>
      <c r="F13" s="330">
        <v>4100000</v>
      </c>
      <c r="G13" s="330">
        <f>4200000+200000</f>
        <v>4400000</v>
      </c>
      <c r="H13" s="330">
        <v>4100000</v>
      </c>
      <c r="I13" s="330">
        <v>4100000</v>
      </c>
      <c r="J13" s="338"/>
      <c r="K13" s="338">
        <v>30</v>
      </c>
      <c r="L13" s="314">
        <v>30</v>
      </c>
      <c r="M13" s="331"/>
      <c r="N13" s="338"/>
      <c r="O13" s="339">
        <v>2</v>
      </c>
      <c r="P13" s="314">
        <v>794</v>
      </c>
      <c r="Q13" s="314">
        <v>1156</v>
      </c>
      <c r="R13" s="314">
        <f t="shared" si="6"/>
        <v>362</v>
      </c>
      <c r="S13" s="319">
        <v>4000</v>
      </c>
      <c r="T13" s="319">
        <f t="shared" si="1"/>
        <v>1448000</v>
      </c>
      <c r="U13" s="314"/>
      <c r="V13" s="314"/>
      <c r="W13" s="332">
        <v>2</v>
      </c>
      <c r="X13" s="314">
        <v>120000</v>
      </c>
      <c r="Y13" s="314">
        <f t="shared" si="7"/>
        <v>240000</v>
      </c>
      <c r="Z13" s="339"/>
      <c r="AA13" s="314"/>
      <c r="AB13" s="314"/>
      <c r="AC13" s="328">
        <v>1</v>
      </c>
      <c r="AD13" s="314">
        <v>100000</v>
      </c>
      <c r="AE13" s="314">
        <f t="shared" si="8"/>
        <v>100000</v>
      </c>
      <c r="AF13" s="314">
        <v>2</v>
      </c>
      <c r="AG13" s="314">
        <v>60000</v>
      </c>
      <c r="AH13" s="314">
        <f t="shared" si="9"/>
        <v>120000</v>
      </c>
      <c r="AI13" s="314"/>
      <c r="AJ13" s="314"/>
      <c r="AK13" s="314"/>
      <c r="AL13" s="339"/>
      <c r="AM13" s="314"/>
      <c r="AN13" s="333"/>
      <c r="AO13" s="314">
        <v>2</v>
      </c>
      <c r="AP13" s="314">
        <v>120000</v>
      </c>
      <c r="AQ13" s="314">
        <f t="shared" si="10"/>
        <v>240000</v>
      </c>
      <c r="AR13" s="313"/>
      <c r="AS13" s="313"/>
      <c r="AT13" s="313">
        <f t="shared" si="11"/>
        <v>0</v>
      </c>
      <c r="AU13" s="321">
        <f t="shared" si="2"/>
        <v>2148000</v>
      </c>
      <c r="AV13" s="322">
        <f t="shared" si="3"/>
        <v>6248000</v>
      </c>
      <c r="AW13" s="314" t="s">
        <v>286</v>
      </c>
      <c r="AX13" s="334">
        <f>2248000+4640000</f>
        <v>6888000</v>
      </c>
      <c r="AY13" s="324" t="str">
        <f t="shared" si="4"/>
        <v>Thừa</v>
      </c>
      <c r="AZ13" s="325">
        <f t="shared" si="5"/>
        <v>640000</v>
      </c>
      <c r="BA13" s="335"/>
      <c r="BB13" s="319"/>
      <c r="BC13" s="314"/>
      <c r="BD13" s="314"/>
      <c r="BE13" s="314"/>
      <c r="BF13" s="314"/>
      <c r="BG13" s="314"/>
      <c r="BH13" s="314"/>
      <c r="BI13" s="314"/>
      <c r="BJ13" s="314"/>
      <c r="BK13" s="314"/>
      <c r="BL13" s="319"/>
      <c r="BM13" s="314"/>
      <c r="BN13" s="314"/>
      <c r="BO13" s="314"/>
      <c r="BP13" s="314"/>
      <c r="BQ13" s="314"/>
      <c r="BR13" s="314"/>
      <c r="BS13" s="336"/>
      <c r="BT13" s="314"/>
      <c r="BU13" s="336"/>
      <c r="BV13" s="314"/>
      <c r="BW13" s="314"/>
      <c r="BX13" s="314"/>
      <c r="BY13" s="314"/>
      <c r="BZ13" s="314"/>
      <c r="CA13" s="314"/>
      <c r="CB13" s="314"/>
      <c r="CC13" s="314"/>
      <c r="CD13" s="314"/>
      <c r="CE13" s="314"/>
      <c r="CF13" s="314"/>
      <c r="CG13" s="314"/>
    </row>
    <row r="14" spans="1:85" ht="21.75" customHeight="1">
      <c r="A14" s="328" t="s">
        <v>46</v>
      </c>
      <c r="B14" s="328" t="s">
        <v>144</v>
      </c>
      <c r="C14" s="314">
        <v>402</v>
      </c>
      <c r="D14" s="314" t="s">
        <v>238</v>
      </c>
      <c r="E14" s="314">
        <v>1</v>
      </c>
      <c r="F14" s="330">
        <v>3900000</v>
      </c>
      <c r="G14" s="330">
        <v>4000000</v>
      </c>
      <c r="H14" s="330">
        <v>3900000</v>
      </c>
      <c r="I14" s="330">
        <v>3900000</v>
      </c>
      <c r="J14" s="338"/>
      <c r="K14" s="314">
        <v>30</v>
      </c>
      <c r="L14" s="314">
        <v>30</v>
      </c>
      <c r="M14" s="331"/>
      <c r="N14" s="319"/>
      <c r="O14" s="339">
        <v>2</v>
      </c>
      <c r="P14" s="314">
        <v>488</v>
      </c>
      <c r="Q14" s="314">
        <v>716</v>
      </c>
      <c r="R14" s="314">
        <f t="shared" si="6"/>
        <v>228</v>
      </c>
      <c r="S14" s="319">
        <v>4000</v>
      </c>
      <c r="T14" s="319">
        <f t="shared" si="1"/>
        <v>912000</v>
      </c>
      <c r="U14" s="314"/>
      <c r="V14" s="314"/>
      <c r="W14" s="332">
        <v>2</v>
      </c>
      <c r="X14" s="314">
        <v>120000</v>
      </c>
      <c r="Y14" s="314">
        <f t="shared" si="7"/>
        <v>240000</v>
      </c>
      <c r="Z14" s="339"/>
      <c r="AA14" s="314"/>
      <c r="AB14" s="314"/>
      <c r="AC14" s="328">
        <v>1</v>
      </c>
      <c r="AD14" s="314">
        <v>100000</v>
      </c>
      <c r="AE14" s="314">
        <f t="shared" si="8"/>
        <v>100000</v>
      </c>
      <c r="AF14" s="314">
        <v>2</v>
      </c>
      <c r="AG14" s="314">
        <v>60000</v>
      </c>
      <c r="AH14" s="314">
        <f t="shared" si="9"/>
        <v>120000</v>
      </c>
      <c r="AI14" s="314">
        <v>1</v>
      </c>
      <c r="AJ14" s="314">
        <v>400000</v>
      </c>
      <c r="AK14" s="314">
        <f>AI14*AJ14</f>
        <v>400000</v>
      </c>
      <c r="AL14" s="339"/>
      <c r="AM14" s="314"/>
      <c r="AN14" s="333"/>
      <c r="AO14" s="314">
        <v>2</v>
      </c>
      <c r="AP14" s="314">
        <v>120000</v>
      </c>
      <c r="AQ14" s="314">
        <f t="shared" si="10"/>
        <v>240000</v>
      </c>
      <c r="AR14" s="313"/>
      <c r="AS14" s="313"/>
      <c r="AT14" s="313">
        <f t="shared" si="11"/>
        <v>0</v>
      </c>
      <c r="AU14" s="321">
        <f t="shared" si="2"/>
        <v>2012000</v>
      </c>
      <c r="AV14" s="322">
        <f t="shared" si="3"/>
        <v>5912000</v>
      </c>
      <c r="AW14" s="314" t="s">
        <v>285</v>
      </c>
      <c r="AX14" s="334">
        <f>3000000+5333000</f>
        <v>8333000</v>
      </c>
      <c r="AY14" s="324" t="str">
        <f t="shared" si="4"/>
        <v>Thừa</v>
      </c>
      <c r="AZ14" s="325">
        <f t="shared" si="5"/>
        <v>2421000</v>
      </c>
      <c r="BA14" s="335"/>
      <c r="BB14" s="319"/>
      <c r="BC14" s="314"/>
      <c r="BD14" s="314"/>
      <c r="BE14" s="314"/>
      <c r="BF14" s="314"/>
      <c r="BG14" s="314"/>
      <c r="BH14" s="314"/>
      <c r="BI14" s="314"/>
      <c r="BJ14" s="314"/>
      <c r="BK14" s="314"/>
      <c r="BL14" s="319"/>
      <c r="BM14" s="314"/>
      <c r="BN14" s="314"/>
      <c r="BO14" s="314"/>
      <c r="BP14" s="314"/>
      <c r="BQ14" s="314"/>
      <c r="BR14" s="314"/>
      <c r="BS14" s="336"/>
      <c r="BT14" s="314"/>
      <c r="BU14" s="336"/>
      <c r="BV14" s="314"/>
      <c r="BW14" s="314"/>
      <c r="BX14" s="314"/>
      <c r="BY14" s="314"/>
      <c r="BZ14" s="314"/>
      <c r="CA14" s="314"/>
      <c r="CB14" s="314"/>
      <c r="CC14" s="314"/>
      <c r="CD14" s="314"/>
      <c r="CE14" s="314"/>
      <c r="CF14" s="314"/>
      <c r="CG14" s="314"/>
    </row>
    <row r="15" spans="1:85" ht="20.25" customHeight="1">
      <c r="A15" s="328" t="s">
        <v>47</v>
      </c>
      <c r="B15" s="328" t="s">
        <v>144</v>
      </c>
      <c r="C15" s="314">
        <v>403</v>
      </c>
      <c r="D15" s="314" t="s">
        <v>238</v>
      </c>
      <c r="E15" s="314">
        <v>1</v>
      </c>
      <c r="F15" s="330">
        <v>4200000</v>
      </c>
      <c r="G15" s="330">
        <f>4300000+200000</f>
        <v>4500000</v>
      </c>
      <c r="H15" s="330">
        <v>4200000</v>
      </c>
      <c r="I15" s="330">
        <v>4200000</v>
      </c>
      <c r="J15" s="338"/>
      <c r="K15" s="314">
        <v>30</v>
      </c>
      <c r="L15" s="314">
        <v>30</v>
      </c>
      <c r="M15" s="331"/>
      <c r="N15" s="319"/>
      <c r="O15" s="339">
        <v>2</v>
      </c>
      <c r="P15" s="314">
        <v>456</v>
      </c>
      <c r="Q15" s="314">
        <v>693</v>
      </c>
      <c r="R15" s="314">
        <f t="shared" si="6"/>
        <v>237</v>
      </c>
      <c r="S15" s="319">
        <v>4000</v>
      </c>
      <c r="T15" s="319">
        <f t="shared" si="1"/>
        <v>948000</v>
      </c>
      <c r="U15" s="314"/>
      <c r="V15" s="314"/>
      <c r="W15" s="332">
        <v>2</v>
      </c>
      <c r="X15" s="314">
        <v>120000</v>
      </c>
      <c r="Y15" s="314">
        <f t="shared" si="7"/>
        <v>240000</v>
      </c>
      <c r="Z15" s="339"/>
      <c r="AA15" s="314"/>
      <c r="AB15" s="314"/>
      <c r="AC15" s="328"/>
      <c r="AD15" s="314">
        <v>100000</v>
      </c>
      <c r="AE15" s="314">
        <f t="shared" si="8"/>
        <v>0</v>
      </c>
      <c r="AF15" s="314">
        <v>2</v>
      </c>
      <c r="AG15" s="314">
        <v>60000</v>
      </c>
      <c r="AH15" s="314">
        <f t="shared" si="9"/>
        <v>120000</v>
      </c>
      <c r="AI15" s="314"/>
      <c r="AJ15" s="314"/>
      <c r="AK15" s="314"/>
      <c r="AL15" s="339"/>
      <c r="AM15" s="314"/>
      <c r="AN15" s="333"/>
      <c r="AO15" s="314">
        <v>2</v>
      </c>
      <c r="AP15" s="314">
        <v>120000</v>
      </c>
      <c r="AQ15" s="314">
        <f t="shared" si="10"/>
        <v>240000</v>
      </c>
      <c r="AR15" s="313"/>
      <c r="AS15" s="313"/>
      <c r="AT15" s="313">
        <f t="shared" si="11"/>
        <v>0</v>
      </c>
      <c r="AU15" s="321">
        <f t="shared" si="2"/>
        <v>1548000</v>
      </c>
      <c r="AV15" s="322">
        <f t="shared" si="3"/>
        <v>5748000</v>
      </c>
      <c r="AW15" s="314"/>
      <c r="AX15" s="334">
        <v>5748000</v>
      </c>
      <c r="AY15" s="324" t="str">
        <f t="shared" si="4"/>
        <v>Đủ</v>
      </c>
      <c r="AZ15" s="325">
        <f t="shared" si="5"/>
        <v>0</v>
      </c>
      <c r="BA15" s="335"/>
      <c r="BB15" s="319"/>
      <c r="BC15" s="314"/>
      <c r="BD15" s="314"/>
      <c r="BE15" s="314"/>
      <c r="BF15" s="314"/>
      <c r="BG15" s="314"/>
      <c r="BH15" s="314"/>
      <c r="BI15" s="314"/>
      <c r="BJ15" s="314"/>
      <c r="BK15" s="314"/>
      <c r="BL15" s="319"/>
      <c r="BM15" s="314"/>
      <c r="BN15" s="314"/>
      <c r="BO15" s="314"/>
      <c r="BP15" s="314"/>
      <c r="BQ15" s="314"/>
      <c r="BR15" s="314"/>
      <c r="BS15" s="336"/>
      <c r="BT15" s="314"/>
      <c r="BU15" s="336"/>
      <c r="BV15" s="314"/>
      <c r="BW15" s="314"/>
      <c r="BX15" s="314"/>
      <c r="BY15" s="314"/>
      <c r="BZ15" s="314"/>
      <c r="CA15" s="314"/>
      <c r="CB15" s="314"/>
      <c r="CC15" s="314"/>
      <c r="CD15" s="314"/>
      <c r="CE15" s="314"/>
      <c r="CF15" s="314"/>
      <c r="CG15" s="314"/>
    </row>
    <row r="16" spans="1:85" ht="21.75" customHeight="1">
      <c r="A16" s="328" t="s">
        <v>48</v>
      </c>
      <c r="B16" s="328" t="s">
        <v>144</v>
      </c>
      <c r="C16" s="314">
        <v>404</v>
      </c>
      <c r="D16" s="314" t="s">
        <v>238</v>
      </c>
      <c r="E16" s="314">
        <v>1</v>
      </c>
      <c r="F16" s="315">
        <v>4000000</v>
      </c>
      <c r="G16" s="330">
        <v>4400000</v>
      </c>
      <c r="H16" s="315">
        <v>4000000</v>
      </c>
      <c r="I16" s="315">
        <v>4000000</v>
      </c>
      <c r="J16" s="340"/>
      <c r="K16" s="314">
        <v>30</v>
      </c>
      <c r="L16" s="314">
        <v>30</v>
      </c>
      <c r="M16" s="331"/>
      <c r="N16" s="319"/>
      <c r="O16" s="339">
        <v>1</v>
      </c>
      <c r="P16" s="314">
        <v>353</v>
      </c>
      <c r="Q16" s="314">
        <v>511</v>
      </c>
      <c r="R16" s="314">
        <f t="shared" si="6"/>
        <v>158</v>
      </c>
      <c r="S16" s="319">
        <v>4000</v>
      </c>
      <c r="T16" s="319">
        <f t="shared" si="1"/>
        <v>632000</v>
      </c>
      <c r="U16" s="314"/>
      <c r="V16" s="314"/>
      <c r="W16" s="332">
        <v>1</v>
      </c>
      <c r="X16" s="314">
        <v>120000</v>
      </c>
      <c r="Y16" s="314">
        <f t="shared" si="7"/>
        <v>120000</v>
      </c>
      <c r="Z16" s="339"/>
      <c r="AA16" s="314"/>
      <c r="AB16" s="314"/>
      <c r="AC16" s="328"/>
      <c r="AD16" s="314">
        <v>100000</v>
      </c>
      <c r="AE16" s="314">
        <f t="shared" si="8"/>
        <v>0</v>
      </c>
      <c r="AF16" s="314">
        <v>1</v>
      </c>
      <c r="AG16" s="314">
        <v>60000</v>
      </c>
      <c r="AH16" s="314">
        <f t="shared" si="9"/>
        <v>60000</v>
      </c>
      <c r="AI16" s="314"/>
      <c r="AJ16" s="314"/>
      <c r="AK16" s="314"/>
      <c r="AL16" s="339"/>
      <c r="AM16" s="314"/>
      <c r="AN16" s="333"/>
      <c r="AO16" s="314">
        <v>1</v>
      </c>
      <c r="AP16" s="314">
        <v>120000</v>
      </c>
      <c r="AQ16" s="314">
        <f t="shared" si="10"/>
        <v>120000</v>
      </c>
      <c r="AR16" s="313"/>
      <c r="AS16" s="313"/>
      <c r="AT16" s="313">
        <f t="shared" si="11"/>
        <v>0</v>
      </c>
      <c r="AU16" s="321">
        <f t="shared" si="2"/>
        <v>932000</v>
      </c>
      <c r="AV16" s="322">
        <f t="shared" si="3"/>
        <v>4932000</v>
      </c>
      <c r="AW16" s="314"/>
      <c r="AX16" s="334">
        <v>4932000</v>
      </c>
      <c r="AY16" s="324" t="str">
        <f t="shared" si="4"/>
        <v>Đủ</v>
      </c>
      <c r="AZ16" s="325">
        <f t="shared" si="5"/>
        <v>0</v>
      </c>
      <c r="BA16" s="335"/>
      <c r="BB16" s="319"/>
      <c r="BC16" s="314"/>
      <c r="BD16" s="314"/>
      <c r="BE16" s="314"/>
      <c r="BF16" s="314"/>
      <c r="BG16" s="314"/>
      <c r="BH16" s="314"/>
      <c r="BI16" s="314"/>
      <c r="BJ16" s="314"/>
      <c r="BK16" s="314"/>
      <c r="BL16" s="319"/>
      <c r="BM16" s="314"/>
      <c r="BN16" s="314"/>
      <c r="BO16" s="314"/>
      <c r="BP16" s="314"/>
      <c r="BQ16" s="314"/>
      <c r="BR16" s="314"/>
      <c r="BS16" s="336"/>
      <c r="BT16" s="314"/>
      <c r="BU16" s="336"/>
      <c r="BV16" s="314"/>
      <c r="BW16" s="314"/>
      <c r="BX16" s="314"/>
      <c r="BY16" s="314"/>
      <c r="BZ16" s="314"/>
      <c r="CA16" s="314"/>
      <c r="CB16" s="314"/>
      <c r="CC16" s="314"/>
      <c r="CD16" s="314"/>
      <c r="CE16" s="314"/>
      <c r="CF16" s="314"/>
      <c r="CG16" s="314"/>
    </row>
    <row r="17" spans="1:85" ht="20.25" customHeight="1">
      <c r="A17" s="328" t="s">
        <v>49</v>
      </c>
      <c r="B17" s="328" t="s">
        <v>144</v>
      </c>
      <c r="C17" s="314">
        <v>601</v>
      </c>
      <c r="D17" s="314" t="s">
        <v>238</v>
      </c>
      <c r="E17" s="314">
        <v>1</v>
      </c>
      <c r="F17" s="315">
        <v>3800000</v>
      </c>
      <c r="G17" s="330">
        <v>4100000</v>
      </c>
      <c r="H17" s="315">
        <v>3800000</v>
      </c>
      <c r="I17" s="315">
        <v>3800000</v>
      </c>
      <c r="J17" s="340"/>
      <c r="K17" s="314">
        <v>30</v>
      </c>
      <c r="L17" s="314">
        <v>30</v>
      </c>
      <c r="M17" s="331"/>
      <c r="N17" s="319"/>
      <c r="O17" s="339">
        <v>1</v>
      </c>
      <c r="P17" s="314">
        <v>239</v>
      </c>
      <c r="Q17" s="314">
        <v>363</v>
      </c>
      <c r="R17" s="314">
        <f t="shared" si="6"/>
        <v>124</v>
      </c>
      <c r="S17" s="319">
        <v>4000</v>
      </c>
      <c r="T17" s="319">
        <f t="shared" si="1"/>
        <v>496000</v>
      </c>
      <c r="U17" s="319"/>
      <c r="V17" s="319"/>
      <c r="W17" s="341">
        <v>1</v>
      </c>
      <c r="X17" s="314">
        <v>120000</v>
      </c>
      <c r="Y17" s="314">
        <f t="shared" si="7"/>
        <v>120000</v>
      </c>
      <c r="Z17" s="339"/>
      <c r="AA17" s="314"/>
      <c r="AB17" s="314"/>
      <c r="AC17" s="328">
        <v>1</v>
      </c>
      <c r="AD17" s="314">
        <v>100000</v>
      </c>
      <c r="AE17" s="314">
        <f t="shared" si="8"/>
        <v>100000</v>
      </c>
      <c r="AF17" s="314">
        <v>1</v>
      </c>
      <c r="AG17" s="314">
        <v>60000</v>
      </c>
      <c r="AH17" s="314">
        <f t="shared" si="9"/>
        <v>60000</v>
      </c>
      <c r="AI17" s="314"/>
      <c r="AJ17" s="314"/>
      <c r="AK17" s="314"/>
      <c r="AL17" s="339"/>
      <c r="AM17" s="314"/>
      <c r="AN17" s="333"/>
      <c r="AO17" s="314">
        <v>1</v>
      </c>
      <c r="AP17" s="314">
        <v>120000</v>
      </c>
      <c r="AQ17" s="314">
        <f t="shared" si="10"/>
        <v>120000</v>
      </c>
      <c r="AR17" s="313"/>
      <c r="AS17" s="313"/>
      <c r="AT17" s="313">
        <f t="shared" si="11"/>
        <v>0</v>
      </c>
      <c r="AU17" s="321">
        <f t="shared" si="2"/>
        <v>896000</v>
      </c>
      <c r="AV17" s="322">
        <f t="shared" si="3"/>
        <v>4696000</v>
      </c>
      <c r="AW17" s="314" t="s">
        <v>287</v>
      </c>
      <c r="AX17" s="334">
        <f>496000+1000000</f>
        <v>1496000</v>
      </c>
      <c r="AY17" s="324" t="str">
        <f t="shared" si="4"/>
        <v>Thiếu</v>
      </c>
      <c r="AZ17" s="325">
        <f t="shared" si="5"/>
        <v>-3200000</v>
      </c>
      <c r="BA17" s="335"/>
      <c r="BB17" s="319"/>
      <c r="BC17" s="314"/>
      <c r="BD17" s="314"/>
      <c r="BE17" s="314"/>
      <c r="BF17" s="314"/>
      <c r="BG17" s="314"/>
      <c r="BH17" s="314"/>
      <c r="BI17" s="314"/>
      <c r="BJ17" s="314"/>
      <c r="BK17" s="314"/>
      <c r="BL17" s="319"/>
      <c r="BM17" s="314"/>
      <c r="BN17" s="314"/>
      <c r="BO17" s="314"/>
      <c r="BP17" s="314"/>
      <c r="BQ17" s="314"/>
      <c r="BR17" s="314"/>
      <c r="BS17" s="336"/>
      <c r="BT17" s="314"/>
      <c r="BU17" s="336"/>
      <c r="BV17" s="314"/>
      <c r="BW17" s="314"/>
      <c r="BX17" s="314"/>
      <c r="BY17" s="314"/>
      <c r="BZ17" s="314"/>
      <c r="CA17" s="314"/>
      <c r="CB17" s="314"/>
      <c r="CC17" s="314"/>
      <c r="CD17" s="314"/>
      <c r="CE17" s="314"/>
      <c r="CF17" s="314"/>
      <c r="CG17" s="314"/>
    </row>
    <row r="18" spans="1:85" ht="18" customHeight="1">
      <c r="A18" s="328" t="s">
        <v>50</v>
      </c>
      <c r="B18" s="328" t="s">
        <v>144</v>
      </c>
      <c r="C18" s="314">
        <v>603</v>
      </c>
      <c r="D18" s="314" t="s">
        <v>238</v>
      </c>
      <c r="E18" s="314">
        <v>1</v>
      </c>
      <c r="F18" s="315">
        <v>3000000</v>
      </c>
      <c r="G18" s="330">
        <v>3300000</v>
      </c>
      <c r="H18" s="315">
        <v>3000000</v>
      </c>
      <c r="I18" s="315">
        <v>3000000</v>
      </c>
      <c r="J18" s="340"/>
      <c r="K18" s="314">
        <v>30</v>
      </c>
      <c r="L18" s="314">
        <v>30</v>
      </c>
      <c r="M18" s="331"/>
      <c r="N18" s="319"/>
      <c r="O18" s="339">
        <v>2</v>
      </c>
      <c r="P18" s="314">
        <v>171</v>
      </c>
      <c r="Q18" s="314">
        <v>228</v>
      </c>
      <c r="R18" s="314">
        <f t="shared" si="6"/>
        <v>57</v>
      </c>
      <c r="S18" s="319">
        <v>4000</v>
      </c>
      <c r="T18" s="319">
        <f t="shared" si="1"/>
        <v>228000</v>
      </c>
      <c r="U18" s="314"/>
      <c r="V18" s="314"/>
      <c r="W18" s="332">
        <v>2</v>
      </c>
      <c r="X18" s="314">
        <v>120000</v>
      </c>
      <c r="Y18" s="314">
        <f t="shared" si="7"/>
        <v>240000</v>
      </c>
      <c r="Z18" s="339"/>
      <c r="AA18" s="314"/>
      <c r="AB18" s="314">
        <f>Z18*AA18</f>
        <v>0</v>
      </c>
      <c r="AC18" s="328">
        <v>1</v>
      </c>
      <c r="AD18" s="314">
        <v>100000</v>
      </c>
      <c r="AE18" s="314">
        <f t="shared" si="8"/>
        <v>100000</v>
      </c>
      <c r="AF18" s="314">
        <v>2</v>
      </c>
      <c r="AG18" s="314">
        <v>60000</v>
      </c>
      <c r="AH18" s="314">
        <f t="shared" si="9"/>
        <v>120000</v>
      </c>
      <c r="AI18" s="314"/>
      <c r="AJ18" s="314"/>
      <c r="AK18" s="314"/>
      <c r="AL18" s="339"/>
      <c r="AM18" s="314"/>
      <c r="AN18" s="333"/>
      <c r="AO18" s="314">
        <v>2</v>
      </c>
      <c r="AP18" s="314">
        <v>120000</v>
      </c>
      <c r="AQ18" s="314">
        <f t="shared" si="10"/>
        <v>240000</v>
      </c>
      <c r="AR18" s="342">
        <f t="shared" ref="AR18:AR19" si="17">(282-257)/2</f>
        <v>12.5</v>
      </c>
      <c r="AS18" s="313">
        <v>4000</v>
      </c>
      <c r="AT18" s="313">
        <f t="shared" si="11"/>
        <v>50000</v>
      </c>
      <c r="AU18" s="321">
        <f t="shared" si="2"/>
        <v>978000</v>
      </c>
      <c r="AV18" s="322">
        <f t="shared" si="3"/>
        <v>3978000</v>
      </c>
      <c r="AW18" s="314"/>
      <c r="AX18" s="334">
        <v>3978000</v>
      </c>
      <c r="AY18" s="324" t="str">
        <f t="shared" si="4"/>
        <v>Đủ</v>
      </c>
      <c r="AZ18" s="325">
        <f t="shared" si="5"/>
        <v>0</v>
      </c>
      <c r="BA18" s="335"/>
      <c r="BB18" s="319"/>
      <c r="BC18" s="314"/>
      <c r="BD18" s="314"/>
      <c r="BE18" s="314"/>
      <c r="BF18" s="314"/>
      <c r="BG18" s="314"/>
      <c r="BH18" s="314"/>
      <c r="BI18" s="314"/>
      <c r="BJ18" s="314"/>
      <c r="BK18" s="314"/>
      <c r="BL18" s="319"/>
      <c r="BM18" s="314"/>
      <c r="BN18" s="314"/>
      <c r="BO18" s="314"/>
      <c r="BP18" s="314"/>
      <c r="BQ18" s="314"/>
      <c r="BR18" s="314"/>
      <c r="BS18" s="336"/>
      <c r="BT18" s="314"/>
      <c r="BU18" s="336"/>
      <c r="BV18" s="314"/>
      <c r="BW18" s="314"/>
      <c r="BX18" s="314"/>
      <c r="BY18" s="314"/>
      <c r="BZ18" s="314"/>
      <c r="CA18" s="314"/>
      <c r="CB18" s="314"/>
      <c r="CC18" s="314"/>
      <c r="CD18" s="314"/>
      <c r="CE18" s="314"/>
      <c r="CF18" s="314"/>
      <c r="CG18" s="314"/>
    </row>
    <row r="19" spans="1:85" ht="22.5" customHeight="1">
      <c r="A19" s="328" t="s">
        <v>51</v>
      </c>
      <c r="B19" s="328" t="s">
        <v>144</v>
      </c>
      <c r="C19" s="314">
        <v>604</v>
      </c>
      <c r="D19" s="314" t="s">
        <v>238</v>
      </c>
      <c r="E19" s="314">
        <v>1</v>
      </c>
      <c r="F19" s="315">
        <v>3500000</v>
      </c>
      <c r="G19" s="330">
        <v>3500000</v>
      </c>
      <c r="H19" s="315">
        <v>3500000</v>
      </c>
      <c r="I19" s="315">
        <v>3500000</v>
      </c>
      <c r="J19" s="340"/>
      <c r="K19" s="314">
        <v>30</v>
      </c>
      <c r="L19" s="314">
        <v>30</v>
      </c>
      <c r="M19" s="331"/>
      <c r="N19" s="319"/>
      <c r="O19" s="339">
        <v>3</v>
      </c>
      <c r="P19" s="314">
        <v>371</v>
      </c>
      <c r="Q19" s="314">
        <v>597</v>
      </c>
      <c r="R19" s="314">
        <f t="shared" si="6"/>
        <v>226</v>
      </c>
      <c r="S19" s="319">
        <v>4000</v>
      </c>
      <c r="T19" s="319">
        <f t="shared" si="1"/>
        <v>904000</v>
      </c>
      <c r="U19" s="314"/>
      <c r="V19" s="314"/>
      <c r="W19" s="332">
        <v>3</v>
      </c>
      <c r="X19" s="314">
        <v>120000</v>
      </c>
      <c r="Y19" s="314">
        <f t="shared" si="7"/>
        <v>360000</v>
      </c>
      <c r="Z19" s="339"/>
      <c r="AA19" s="314"/>
      <c r="AB19" s="314"/>
      <c r="AC19" s="328">
        <v>1</v>
      </c>
      <c r="AD19" s="314">
        <v>100000</v>
      </c>
      <c r="AE19" s="314">
        <f t="shared" si="8"/>
        <v>100000</v>
      </c>
      <c r="AF19" s="314">
        <v>3</v>
      </c>
      <c r="AG19" s="314">
        <v>60000</v>
      </c>
      <c r="AH19" s="314">
        <f t="shared" si="9"/>
        <v>180000</v>
      </c>
      <c r="AI19" s="314"/>
      <c r="AJ19" s="314"/>
      <c r="AK19" s="314"/>
      <c r="AL19" s="339"/>
      <c r="AM19" s="314"/>
      <c r="AN19" s="333"/>
      <c r="AO19" s="314">
        <v>3</v>
      </c>
      <c r="AP19" s="314">
        <v>120000</v>
      </c>
      <c r="AQ19" s="314">
        <f t="shared" si="10"/>
        <v>360000</v>
      </c>
      <c r="AR19" s="342">
        <f t="shared" si="17"/>
        <v>12.5</v>
      </c>
      <c r="AS19" s="313">
        <v>4000</v>
      </c>
      <c r="AT19" s="313">
        <f t="shared" si="11"/>
        <v>50000</v>
      </c>
      <c r="AU19" s="321">
        <f t="shared" si="2"/>
        <v>1954000</v>
      </c>
      <c r="AV19" s="322">
        <f t="shared" si="3"/>
        <v>5454000</v>
      </c>
      <c r="AW19" s="314"/>
      <c r="AX19" s="334">
        <v>5455000</v>
      </c>
      <c r="AY19" s="324" t="str">
        <f t="shared" si="4"/>
        <v>Thừa</v>
      </c>
      <c r="AZ19" s="325">
        <f t="shared" si="5"/>
        <v>1000</v>
      </c>
      <c r="BA19" s="335"/>
      <c r="BB19" s="319"/>
      <c r="BC19" s="314"/>
      <c r="BD19" s="314"/>
      <c r="BE19" s="314"/>
      <c r="BF19" s="314"/>
      <c r="BG19" s="314"/>
      <c r="BH19" s="314"/>
      <c r="BI19" s="314"/>
      <c r="BJ19" s="314"/>
      <c r="BK19" s="314"/>
      <c r="BL19" s="319"/>
      <c r="BM19" s="314"/>
      <c r="BN19" s="314"/>
      <c r="BO19" s="314"/>
      <c r="BP19" s="314"/>
      <c r="BQ19" s="314"/>
      <c r="BR19" s="314"/>
      <c r="BS19" s="336"/>
      <c r="BT19" s="314"/>
      <c r="BU19" s="336"/>
      <c r="BV19" s="314"/>
      <c r="BW19" s="314"/>
      <c r="BX19" s="314"/>
      <c r="BY19" s="314"/>
      <c r="BZ19" s="314"/>
      <c r="CA19" s="314"/>
      <c r="CB19" s="314"/>
      <c r="CC19" s="314"/>
      <c r="CD19" s="314"/>
      <c r="CE19" s="314"/>
      <c r="CF19" s="314"/>
      <c r="CG19" s="314"/>
    </row>
  </sheetData>
  <mergeCells count="10">
    <mergeCell ref="AL1:AN1"/>
    <mergeCell ref="AO1:AQ1"/>
    <mergeCell ref="AR1:AT1"/>
    <mergeCell ref="BA1:BA2"/>
    <mergeCell ref="P1:T1"/>
    <mergeCell ref="U1:Y1"/>
    <mergeCell ref="Z1:AB1"/>
    <mergeCell ref="AC1:AE1"/>
    <mergeCell ref="AF1:AH1"/>
    <mergeCell ref="AI1:AK1"/>
  </mergeCells>
  <conditionalFormatting sqref="AZ4:AZ19">
    <cfRule type="notContainsBlanks" dxfId="4" priority="1">
      <formula>LEN(TRIM(AZ4))&gt;0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F6615-3CDC-484C-8F2E-8868B4E1B28F}">
  <dimension ref="A1:N86"/>
  <sheetViews>
    <sheetView topLeftCell="A70" workbookViewId="0">
      <selection activeCell="C35" sqref="C35"/>
    </sheetView>
  </sheetViews>
  <sheetFormatPr defaultRowHeight="14.5"/>
  <cols>
    <col min="1" max="1" width="40.26953125" customWidth="1"/>
    <col min="2" max="2" width="24.36328125" customWidth="1"/>
    <col min="3" max="3" width="22.6328125" customWidth="1"/>
    <col min="4" max="4" width="22.453125" customWidth="1"/>
    <col min="6" max="13" width="8.7265625" customWidth="1"/>
    <col min="14" max="14" width="12" customWidth="1"/>
  </cols>
  <sheetData>
    <row r="1" spans="1:14" s="144" customFormat="1" ht="15">
      <c r="A1" s="345" t="s">
        <v>301</v>
      </c>
      <c r="B1" s="345"/>
      <c r="C1" s="345"/>
      <c r="D1" s="345"/>
      <c r="E1" s="143"/>
      <c r="F1" s="346" t="s">
        <v>239</v>
      </c>
      <c r="G1" s="347"/>
      <c r="H1" s="347"/>
      <c r="I1" s="347"/>
      <c r="J1" s="347"/>
      <c r="K1" s="347"/>
      <c r="L1" s="347"/>
      <c r="M1" s="348"/>
    </row>
    <row r="2" spans="1:14" s="144" customFormat="1">
      <c r="A2" s="145" t="s">
        <v>302</v>
      </c>
      <c r="B2" s="146"/>
      <c r="C2" s="147">
        <f>'HĐ T7.26  '!AX2</f>
        <v>84657000</v>
      </c>
      <c r="D2" s="148" t="s">
        <v>173</v>
      </c>
      <c r="E2" s="149"/>
      <c r="F2" s="150"/>
      <c r="G2" s="150" t="s">
        <v>174</v>
      </c>
      <c r="H2" s="150" t="s">
        <v>175</v>
      </c>
      <c r="I2" s="150" t="s">
        <v>176</v>
      </c>
      <c r="J2" s="150" t="s">
        <v>177</v>
      </c>
      <c r="K2" s="151" t="s">
        <v>178</v>
      </c>
      <c r="L2" s="152" t="s">
        <v>179</v>
      </c>
      <c r="M2" s="152" t="s">
        <v>180</v>
      </c>
    </row>
    <row r="3" spans="1:14" s="144" customFormat="1">
      <c r="A3" s="349" t="s">
        <v>181</v>
      </c>
      <c r="B3" s="154"/>
      <c r="C3" s="155">
        <v>3600000</v>
      </c>
      <c r="D3" s="156" t="s">
        <v>290</v>
      </c>
      <c r="E3" s="149"/>
      <c r="F3" s="157" t="s">
        <v>182</v>
      </c>
      <c r="G3" s="155">
        <v>10</v>
      </c>
      <c r="H3" s="155">
        <f>G3*($C$22/100)</f>
        <v>4800000</v>
      </c>
      <c r="I3" s="155">
        <f>G3*$C$73/100</f>
        <v>1722698.4</v>
      </c>
      <c r="J3" s="155">
        <f>G3*$C$74/100</f>
        <v>996558.07125837659</v>
      </c>
      <c r="K3" s="158"/>
      <c r="L3" s="156"/>
      <c r="M3" s="157">
        <f>H3+J3</f>
        <v>5796558.0712583764</v>
      </c>
    </row>
    <row r="4" spans="1:14" s="144" customFormat="1">
      <c r="A4" s="350"/>
      <c r="B4" s="154"/>
      <c r="C4" s="155"/>
      <c r="D4" s="156"/>
      <c r="E4" s="149"/>
      <c r="F4" s="157" t="s">
        <v>183</v>
      </c>
      <c r="G4" s="155">
        <v>20</v>
      </c>
      <c r="H4" s="155">
        <f t="shared" ref="H4:H11" si="0">G4*($C$22/100)</f>
        <v>9600000</v>
      </c>
      <c r="I4" s="155">
        <f t="shared" ref="I4:I11" si="1">G4*$C$73/100</f>
        <v>3445396.8</v>
      </c>
      <c r="J4" s="155">
        <f t="shared" ref="J4:J11" si="2">G4*$C$74/100</f>
        <v>1993116.1425167532</v>
      </c>
      <c r="K4" s="158"/>
      <c r="L4" s="156"/>
      <c r="M4" s="157">
        <f t="shared" ref="M4:M11" si="3">H4+J4</f>
        <v>11593116.142516753</v>
      </c>
    </row>
    <row r="5" spans="1:14" s="144" customFormat="1">
      <c r="A5" s="351"/>
      <c r="B5" s="154"/>
      <c r="C5" s="155"/>
      <c r="D5" s="156"/>
      <c r="F5" s="157" t="s">
        <v>240</v>
      </c>
      <c r="G5" s="155">
        <v>15</v>
      </c>
      <c r="H5" s="155">
        <f t="shared" si="0"/>
        <v>7200000</v>
      </c>
      <c r="I5" s="155">
        <f t="shared" si="1"/>
        <v>2584047.6</v>
      </c>
      <c r="J5" s="155">
        <f t="shared" si="2"/>
        <v>1494837.1068875648</v>
      </c>
      <c r="K5" s="158"/>
      <c r="L5" s="156"/>
      <c r="M5" s="157">
        <f t="shared" si="3"/>
        <v>8694837.1068875641</v>
      </c>
    </row>
    <row r="6" spans="1:14" s="144" customFormat="1">
      <c r="A6" s="153" t="s">
        <v>185</v>
      </c>
      <c r="B6" s="159"/>
      <c r="C6" s="160"/>
      <c r="D6" s="161"/>
      <c r="F6" s="157" t="s">
        <v>241</v>
      </c>
      <c r="G6" s="155">
        <v>5</v>
      </c>
      <c r="H6" s="155">
        <f t="shared" si="0"/>
        <v>2400000</v>
      </c>
      <c r="I6" s="155">
        <f t="shared" si="1"/>
        <v>861349.2</v>
      </c>
      <c r="J6" s="155">
        <f t="shared" si="2"/>
        <v>498279.03562918829</v>
      </c>
      <c r="K6" s="158"/>
      <c r="L6" s="156"/>
      <c r="M6" s="157">
        <f t="shared" si="3"/>
        <v>2898279.0356291882</v>
      </c>
    </row>
    <row r="7" spans="1:14" s="144" customFormat="1">
      <c r="A7" s="349" t="s">
        <v>186</v>
      </c>
      <c r="B7" s="159"/>
      <c r="C7" s="160"/>
      <c r="D7" s="161"/>
      <c r="F7" s="157" t="s">
        <v>242</v>
      </c>
      <c r="G7" s="155">
        <v>15</v>
      </c>
      <c r="H7" s="155">
        <f t="shared" si="0"/>
        <v>7200000</v>
      </c>
      <c r="I7" s="155">
        <f t="shared" si="1"/>
        <v>2584047.6</v>
      </c>
      <c r="J7" s="155">
        <f t="shared" si="2"/>
        <v>1494837.1068875648</v>
      </c>
      <c r="K7" s="158"/>
      <c r="L7" s="156"/>
      <c r="M7" s="157">
        <f t="shared" si="3"/>
        <v>8694837.1068875641</v>
      </c>
    </row>
    <row r="8" spans="1:14" s="144" customFormat="1">
      <c r="A8" s="351"/>
      <c r="B8" s="159"/>
      <c r="C8" s="160"/>
      <c r="D8" s="161"/>
      <c r="F8" s="157" t="s">
        <v>184</v>
      </c>
      <c r="G8" s="155">
        <v>10</v>
      </c>
      <c r="H8" s="155">
        <f t="shared" si="0"/>
        <v>4800000</v>
      </c>
      <c r="I8" s="155">
        <f t="shared" si="1"/>
        <v>1722698.4</v>
      </c>
      <c r="J8" s="155">
        <f t="shared" si="2"/>
        <v>996558.07125837659</v>
      </c>
      <c r="K8" s="158"/>
      <c r="L8" s="156"/>
      <c r="M8" s="157">
        <f t="shared" si="3"/>
        <v>5796558.0712583764</v>
      </c>
      <c r="N8" s="166">
        <f>H13+J13</f>
        <v>57965580.712583765</v>
      </c>
    </row>
    <row r="9" spans="1:14" s="144" customFormat="1">
      <c r="A9" s="153"/>
      <c r="B9" s="159" t="s">
        <v>187</v>
      </c>
      <c r="C9" s="160">
        <v>0</v>
      </c>
      <c r="D9" s="161"/>
      <c r="F9" s="157" t="s">
        <v>243</v>
      </c>
      <c r="G9" s="155">
        <v>5</v>
      </c>
      <c r="H9" s="155">
        <f t="shared" si="0"/>
        <v>2400000</v>
      </c>
      <c r="I9" s="155">
        <f t="shared" si="1"/>
        <v>861349.2</v>
      </c>
      <c r="J9" s="155">
        <f t="shared" si="2"/>
        <v>498279.03562918829</v>
      </c>
      <c r="K9" s="158"/>
      <c r="L9" s="156"/>
      <c r="M9" s="157">
        <f t="shared" si="3"/>
        <v>2898279.0356291882</v>
      </c>
      <c r="N9" s="166">
        <f>H13+J13</f>
        <v>57965580.712583765</v>
      </c>
    </row>
    <row r="10" spans="1:14" s="144" customFormat="1">
      <c r="A10" s="153"/>
      <c r="B10" s="159" t="s">
        <v>188</v>
      </c>
      <c r="C10" s="160">
        <v>1</v>
      </c>
      <c r="D10" s="161"/>
      <c r="F10" s="157" t="s">
        <v>244</v>
      </c>
      <c r="G10" s="155">
        <v>10</v>
      </c>
      <c r="H10" s="155">
        <f t="shared" si="0"/>
        <v>4800000</v>
      </c>
      <c r="I10" s="155">
        <f t="shared" si="1"/>
        <v>1722698.4</v>
      </c>
      <c r="J10" s="155">
        <f t="shared" si="2"/>
        <v>996558.07125837659</v>
      </c>
      <c r="K10" s="158"/>
      <c r="L10" s="156"/>
      <c r="M10" s="157">
        <f t="shared" si="3"/>
        <v>5796558.0712583764</v>
      </c>
    </row>
    <row r="11" spans="1:14" s="144" customFormat="1">
      <c r="A11" s="153"/>
      <c r="B11" s="159" t="s">
        <v>189</v>
      </c>
      <c r="C11" s="160">
        <v>0</v>
      </c>
      <c r="D11" s="161"/>
      <c r="F11" s="157" t="s">
        <v>245</v>
      </c>
      <c r="G11" s="155">
        <v>10</v>
      </c>
      <c r="H11" s="155">
        <f t="shared" si="0"/>
        <v>4800000</v>
      </c>
      <c r="I11" s="155">
        <f t="shared" si="1"/>
        <v>1722698.4</v>
      </c>
      <c r="J11" s="155">
        <f t="shared" si="2"/>
        <v>996558.07125837659</v>
      </c>
      <c r="K11" s="158"/>
      <c r="L11" s="156"/>
      <c r="M11" s="157">
        <f t="shared" si="3"/>
        <v>5796558.0712583764</v>
      </c>
    </row>
    <row r="12" spans="1:14" s="144" customFormat="1">
      <c r="A12" s="167"/>
      <c r="B12" s="154" t="s">
        <v>190</v>
      </c>
      <c r="C12" s="168">
        <f>'HĐ T7.26  '!I2</f>
        <v>57000000</v>
      </c>
      <c r="D12" s="169"/>
      <c r="F12" s="157"/>
      <c r="G12" s="155"/>
      <c r="H12" s="155"/>
      <c r="I12" s="155"/>
      <c r="J12" s="155"/>
      <c r="K12" s="158"/>
      <c r="L12" s="156"/>
      <c r="M12" s="157"/>
    </row>
    <row r="13" spans="1:14" s="144" customFormat="1">
      <c r="A13" s="170"/>
      <c r="B13" s="170" t="s">
        <v>191</v>
      </c>
      <c r="C13" s="171">
        <f>'HĐ T7.26  '!T2+'HĐ T7.26  '!AT2</f>
        <v>15467000</v>
      </c>
      <c r="D13" s="172"/>
      <c r="E13" s="173"/>
      <c r="F13" s="162"/>
      <c r="G13" s="163">
        <f>SUM(G3:G12)</f>
        <v>100</v>
      </c>
      <c r="H13" s="163">
        <f>SUM(H3:H12)</f>
        <v>48000000</v>
      </c>
      <c r="I13" s="163">
        <f>SUM(I3:I12)</f>
        <v>17226983.999999996</v>
      </c>
      <c r="J13" s="163">
        <f>SUM(J3:J12)</f>
        <v>9965580.7125837673</v>
      </c>
      <c r="K13" s="164">
        <f>C78*100</f>
        <v>14.779146296782377</v>
      </c>
      <c r="L13" s="162">
        <f>C80</f>
        <v>4.3357223346475644</v>
      </c>
      <c r="M13" s="163">
        <f>SUM(M3:M12)</f>
        <v>57965580.71258375</v>
      </c>
    </row>
    <row r="14" spans="1:14" s="144" customFormat="1">
      <c r="A14" s="174"/>
      <c r="B14" s="174" t="s">
        <v>192</v>
      </c>
      <c r="C14" s="168">
        <f>'HĐ T7.26  '!Y2</f>
        <v>2880000</v>
      </c>
      <c r="D14" s="175"/>
      <c r="E14" s="173"/>
    </row>
    <row r="15" spans="1:14" s="144" customFormat="1">
      <c r="A15" s="174"/>
      <c r="B15" s="174" t="s">
        <v>193</v>
      </c>
      <c r="C15" s="168">
        <f>'HĐ T7.26  '!AQ2/2</f>
        <v>1440000</v>
      </c>
      <c r="D15" s="175"/>
      <c r="E15" s="173"/>
      <c r="F15" s="165"/>
    </row>
    <row r="16" spans="1:14" s="144" customFormat="1">
      <c r="A16" s="174"/>
      <c r="B16" s="174" t="s">
        <v>194</v>
      </c>
      <c r="C16" s="168">
        <f>'HĐ T7.26  '!AE2</f>
        <v>1000000</v>
      </c>
      <c r="D16" s="175"/>
      <c r="E16" s="173"/>
    </row>
    <row r="17" spans="1:14" s="144" customFormat="1">
      <c r="A17" s="176"/>
      <c r="B17" s="174" t="s">
        <v>195</v>
      </c>
      <c r="C17" s="177">
        <f>'HĐ T7.26  '!AK2</f>
        <v>450000</v>
      </c>
      <c r="D17" s="178"/>
      <c r="E17" s="173"/>
    </row>
    <row r="18" spans="1:14" s="144" customFormat="1">
      <c r="A18" s="176"/>
      <c r="B18" s="176" t="s">
        <v>196</v>
      </c>
      <c r="C18" s="160">
        <f>'HĐ T7.26  '!AH2</f>
        <v>1380000</v>
      </c>
      <c r="D18" s="178"/>
      <c r="E18" s="173"/>
    </row>
    <row r="19" spans="1:14" s="144" customFormat="1" ht="15" thickBot="1">
      <c r="A19" s="176"/>
      <c r="B19" s="179" t="s">
        <v>197</v>
      </c>
      <c r="C19" s="180">
        <f>'HĐ T7.26  '!AQ2/2</f>
        <v>1440000</v>
      </c>
      <c r="D19" s="178"/>
      <c r="E19" s="173"/>
    </row>
    <row r="20" spans="1:14" s="144" customFormat="1" ht="15" thickBot="1">
      <c r="A20" s="179"/>
      <c r="B20" s="181" t="s">
        <v>198</v>
      </c>
      <c r="C20" s="182">
        <f>SUM(C13:C19)</f>
        <v>24057000</v>
      </c>
      <c r="D20" s="183"/>
      <c r="E20" s="173"/>
    </row>
    <row r="21" spans="1:14" s="144" customFormat="1">
      <c r="A21" s="184"/>
      <c r="B21" s="185"/>
      <c r="C21" s="186"/>
      <c r="D21" s="187"/>
      <c r="E21" s="173"/>
      <c r="N21" s="166"/>
    </row>
    <row r="22" spans="1:14" s="144" customFormat="1">
      <c r="A22" s="190" t="s">
        <v>199</v>
      </c>
      <c r="B22" s="154" t="s">
        <v>200</v>
      </c>
      <c r="C22" s="155">
        <v>48000000</v>
      </c>
      <c r="D22" s="156"/>
      <c r="E22" s="173"/>
    </row>
    <row r="23" spans="1:14" s="144" customFormat="1">
      <c r="A23" s="343" t="s">
        <v>201</v>
      </c>
      <c r="B23" s="192"/>
      <c r="C23" s="155"/>
      <c r="D23" s="156"/>
      <c r="E23" s="173"/>
      <c r="N23" s="189"/>
    </row>
    <row r="24" spans="1:14" s="144" customFormat="1">
      <c r="A24" s="344"/>
      <c r="B24" s="192"/>
      <c r="C24" s="155"/>
      <c r="D24" s="156"/>
      <c r="E24" s="173"/>
      <c r="N24" s="189"/>
    </row>
    <row r="25" spans="1:14" s="144" customFormat="1">
      <c r="A25" s="344"/>
      <c r="B25" s="154"/>
      <c r="C25" s="155"/>
      <c r="D25" s="155"/>
      <c r="E25" s="173"/>
      <c r="N25" s="189"/>
    </row>
    <row r="26" spans="1:14" s="144" customFormat="1">
      <c r="A26" s="344"/>
      <c r="B26" s="154"/>
      <c r="C26" s="155"/>
      <c r="D26" s="156"/>
      <c r="E26" s="173"/>
      <c r="N26" s="189"/>
    </row>
    <row r="27" spans="1:14" s="144" customFormat="1">
      <c r="A27" s="352"/>
      <c r="B27" s="154"/>
      <c r="C27" s="195"/>
      <c r="D27" s="156"/>
      <c r="E27" s="196"/>
      <c r="F27" s="165"/>
      <c r="N27" s="189"/>
    </row>
    <row r="28" spans="1:14" s="144" customFormat="1">
      <c r="A28" s="343" t="s">
        <v>202</v>
      </c>
      <c r="B28" s="154" t="s">
        <v>19</v>
      </c>
      <c r="C28" s="155">
        <v>17210016</v>
      </c>
      <c r="D28" s="156"/>
      <c r="E28" s="173"/>
      <c r="F28" s="188"/>
      <c r="G28" s="188"/>
      <c r="H28" s="188"/>
      <c r="I28" s="188"/>
      <c r="J28" s="188"/>
      <c r="K28" s="188"/>
      <c r="L28" s="188"/>
      <c r="M28" s="189"/>
      <c r="N28" s="189"/>
    </row>
    <row r="29" spans="1:14" s="144" customFormat="1">
      <c r="A29" s="344"/>
      <c r="B29" s="154" t="s">
        <v>20</v>
      </c>
      <c r="C29" s="155">
        <v>300000</v>
      </c>
      <c r="D29" s="156"/>
      <c r="E29" s="173"/>
      <c r="F29" s="188"/>
      <c r="G29" s="188"/>
      <c r="H29" s="188"/>
      <c r="I29" s="188"/>
      <c r="J29" s="188"/>
      <c r="K29" s="188"/>
      <c r="L29" s="188"/>
      <c r="M29" s="191"/>
      <c r="N29" s="189"/>
    </row>
    <row r="30" spans="1:14" s="144" customFormat="1">
      <c r="A30" s="344"/>
      <c r="B30" s="154" t="s">
        <v>203</v>
      </c>
      <c r="C30" s="155">
        <v>0</v>
      </c>
      <c r="D30" s="156"/>
      <c r="E30" s="173"/>
      <c r="F30" s="173"/>
      <c r="G30" s="173"/>
      <c r="H30" s="173"/>
      <c r="I30" s="173"/>
      <c r="J30" s="193"/>
      <c r="K30" s="194"/>
      <c r="L30" s="173"/>
      <c r="M30" s="173"/>
      <c r="N30" s="189"/>
    </row>
    <row r="31" spans="1:14" s="144" customFormat="1">
      <c r="A31" s="344"/>
      <c r="B31" s="154" t="s">
        <v>204</v>
      </c>
      <c r="C31" s="155">
        <v>300000</v>
      </c>
      <c r="D31" s="155"/>
      <c r="E31" s="149"/>
      <c r="F31" s="173"/>
      <c r="G31" s="173"/>
      <c r="H31" s="173"/>
      <c r="I31" s="173"/>
      <c r="J31" s="193"/>
      <c r="K31" s="194"/>
      <c r="L31" s="173"/>
      <c r="M31" s="173"/>
    </row>
    <row r="32" spans="1:14" s="144" customFormat="1">
      <c r="A32" s="344"/>
      <c r="B32" s="154" t="s">
        <v>205</v>
      </c>
      <c r="C32" s="155">
        <v>1620000</v>
      </c>
      <c r="D32" s="156" t="s">
        <v>303</v>
      </c>
      <c r="E32" s="149"/>
      <c r="F32" s="173"/>
      <c r="G32" s="173"/>
      <c r="H32" s="173"/>
      <c r="I32" s="173"/>
      <c r="J32" s="193"/>
      <c r="K32" s="194"/>
      <c r="L32" s="173"/>
      <c r="M32" s="173"/>
    </row>
    <row r="33" spans="1:13" s="144" customFormat="1">
      <c r="A33" s="344"/>
      <c r="B33" s="154" t="s">
        <v>206</v>
      </c>
      <c r="C33" s="155"/>
      <c r="D33" s="156"/>
      <c r="E33" s="149"/>
      <c r="F33" s="173"/>
      <c r="G33" s="173"/>
      <c r="H33" s="173"/>
      <c r="I33" s="173"/>
      <c r="J33" s="193"/>
      <c r="K33" s="194"/>
      <c r="L33" s="173"/>
      <c r="M33" s="173"/>
    </row>
    <row r="34" spans="1:13" s="144" customFormat="1">
      <c r="A34" s="198" t="s">
        <v>207</v>
      </c>
      <c r="B34" s="145"/>
      <c r="C34" s="147">
        <f>SUM(C22:C33)</f>
        <v>67430016</v>
      </c>
      <c r="D34" s="156"/>
      <c r="E34" s="149"/>
      <c r="F34" s="173"/>
      <c r="G34" s="173"/>
      <c r="H34" s="173"/>
      <c r="I34" s="173"/>
      <c r="J34" s="193"/>
      <c r="K34" s="194"/>
      <c r="L34" s="173"/>
      <c r="M34" s="173"/>
    </row>
    <row r="35" spans="1:13" s="144" customFormat="1">
      <c r="A35" s="353" t="s">
        <v>208</v>
      </c>
      <c r="B35" s="154" t="s">
        <v>21</v>
      </c>
      <c r="C35" s="155">
        <f>1750000+(3000000/1343)*15</f>
        <v>1783507.0737155622</v>
      </c>
      <c r="D35" s="155"/>
      <c r="E35" s="143"/>
      <c r="F35" s="173"/>
      <c r="G35" s="173"/>
      <c r="H35" s="173"/>
      <c r="I35" s="173"/>
      <c r="J35" s="193"/>
      <c r="K35" s="194"/>
      <c r="L35" s="173"/>
      <c r="M35" s="173"/>
    </row>
    <row r="36" spans="1:13" s="144" customFormat="1">
      <c r="A36" s="354"/>
      <c r="B36" s="154" t="s">
        <v>22</v>
      </c>
      <c r="C36" s="155">
        <f>(12000000/1343)*15</f>
        <v>134028.2948622487</v>
      </c>
      <c r="D36" s="155"/>
      <c r="E36" s="143"/>
      <c r="F36" s="173"/>
      <c r="G36" s="173"/>
      <c r="H36" s="173"/>
      <c r="I36" s="173"/>
      <c r="J36" s="193"/>
      <c r="K36" s="194"/>
      <c r="L36" s="173"/>
      <c r="M36" s="173"/>
    </row>
    <row r="37" spans="1:13" s="144" customFormat="1">
      <c r="A37" s="354"/>
      <c r="B37" s="154" t="s">
        <v>209</v>
      </c>
      <c r="C37" s="155">
        <f>(21000000/1343)*15+10000*15</f>
        <v>384549.51600893523</v>
      </c>
      <c r="D37" s="155"/>
      <c r="E37" s="143"/>
      <c r="F37" s="149"/>
      <c r="G37" s="149"/>
      <c r="H37" s="149"/>
      <c r="I37" s="149"/>
      <c r="J37" s="143"/>
      <c r="K37" s="197"/>
      <c r="L37" s="149"/>
      <c r="M37" s="149"/>
    </row>
    <row r="38" spans="1:13" s="144" customFormat="1">
      <c r="A38" s="354"/>
      <c r="B38" s="154" t="s">
        <v>24</v>
      </c>
      <c r="C38" s="155">
        <v>0</v>
      </c>
      <c r="D38" s="155"/>
      <c r="E38" s="143"/>
      <c r="F38" s="149"/>
      <c r="G38" s="149"/>
      <c r="H38" s="149"/>
      <c r="I38" s="149"/>
      <c r="J38" s="143"/>
      <c r="K38" s="197"/>
      <c r="L38" s="149"/>
      <c r="M38" s="149"/>
    </row>
    <row r="39" spans="1:13" s="144" customFormat="1">
      <c r="A39" s="354"/>
      <c r="B39" s="154" t="s">
        <v>255</v>
      </c>
      <c r="C39" s="155">
        <f>(3000000/1343)*15</f>
        <v>33507.073715562175</v>
      </c>
      <c r="D39" s="155"/>
      <c r="E39" s="143"/>
      <c r="F39" s="149"/>
      <c r="G39" s="149"/>
      <c r="H39" s="149"/>
      <c r="I39" s="149"/>
      <c r="J39" s="143"/>
      <c r="K39" s="197"/>
      <c r="L39" s="149"/>
      <c r="M39" s="149"/>
    </row>
    <row r="40" spans="1:13" s="144" customFormat="1">
      <c r="A40" s="354"/>
      <c r="B40" s="154" t="s">
        <v>210</v>
      </c>
      <c r="C40" s="155">
        <f>(SUM('[1]THÁNG 7'!$Y$136/1343)*15)</f>
        <v>530184.99627699179</v>
      </c>
      <c r="D40" s="155"/>
      <c r="E40" s="143"/>
      <c r="F40" s="149"/>
      <c r="G40" s="149"/>
      <c r="H40" s="149"/>
      <c r="I40" s="149"/>
      <c r="J40" s="143"/>
      <c r="K40" s="197"/>
      <c r="L40" s="149"/>
      <c r="M40" s="149"/>
    </row>
    <row r="41" spans="1:13" s="144" customFormat="1">
      <c r="A41" s="354"/>
      <c r="B41" s="154" t="s">
        <v>26</v>
      </c>
      <c r="C41" s="155">
        <v>550000</v>
      </c>
      <c r="D41" s="155"/>
      <c r="E41" s="143"/>
      <c r="F41" s="149"/>
      <c r="G41" s="149"/>
      <c r="H41" s="149"/>
      <c r="I41" s="149"/>
      <c r="J41" s="143"/>
      <c r="K41" s="197"/>
      <c r="L41" s="149"/>
      <c r="M41" s="149"/>
    </row>
    <row r="42" spans="1:13" s="144" customFormat="1">
      <c r="A42" s="354"/>
      <c r="B42" s="154" t="s">
        <v>27</v>
      </c>
      <c r="C42" s="155">
        <f>150000+10000+(2000000/1343)*15</f>
        <v>182338.04914370811</v>
      </c>
      <c r="D42" s="155"/>
      <c r="E42" s="143"/>
      <c r="F42" s="149"/>
      <c r="G42" s="149"/>
      <c r="H42" s="149"/>
      <c r="I42" s="149"/>
      <c r="J42" s="143"/>
      <c r="K42" s="197"/>
      <c r="L42" s="149"/>
      <c r="M42" s="149"/>
    </row>
    <row r="43" spans="1:13" s="144" customFormat="1">
      <c r="A43" s="354"/>
      <c r="B43" s="154" t="s">
        <v>28</v>
      </c>
      <c r="C43" s="155">
        <f>(17000000/1343)*15</f>
        <v>189873.41772151898</v>
      </c>
      <c r="D43" s="155"/>
      <c r="E43" s="143"/>
      <c r="F43" s="149"/>
      <c r="G43" s="149"/>
      <c r="H43" s="149"/>
      <c r="I43" s="149"/>
      <c r="J43" s="143"/>
      <c r="K43" s="197"/>
      <c r="L43" s="149"/>
      <c r="M43" s="149"/>
    </row>
    <row r="44" spans="1:13" s="144" customFormat="1">
      <c r="A44" s="354"/>
      <c r="B44" s="154" t="s">
        <v>29</v>
      </c>
      <c r="C44" s="155"/>
      <c r="D44" s="155"/>
      <c r="E44" s="143"/>
      <c r="F44" s="149"/>
      <c r="G44" s="149"/>
      <c r="H44" s="149"/>
      <c r="I44" s="149"/>
      <c r="J44" s="143"/>
      <c r="K44" s="197"/>
      <c r="L44" s="149"/>
      <c r="M44" s="149"/>
    </row>
    <row r="45" spans="1:13" s="144" customFormat="1">
      <c r="A45" s="355"/>
      <c r="B45" s="154" t="s">
        <v>211</v>
      </c>
      <c r="C45" s="155">
        <f>('[2]THÁNG 7.26  '!$B$35/1343)*15</f>
        <v>1321903.3246463144</v>
      </c>
      <c r="D45" s="155"/>
      <c r="E45" s="143"/>
      <c r="F45" s="149"/>
      <c r="G45" s="149"/>
      <c r="H45" s="149"/>
      <c r="I45" s="149"/>
      <c r="J45" s="143"/>
      <c r="K45" s="197"/>
      <c r="L45" s="149"/>
      <c r="M45" s="149"/>
    </row>
    <row r="46" spans="1:13" s="144" customFormat="1">
      <c r="A46" s="343" t="s">
        <v>212</v>
      </c>
      <c r="B46" s="349" t="s">
        <v>31</v>
      </c>
      <c r="C46" s="155">
        <f>('[2]THÁNG 7.26  '!$F$10/1343)*15</f>
        <v>351511.54132539092</v>
      </c>
      <c r="D46" s="155"/>
      <c r="E46" s="143"/>
      <c r="F46" s="149"/>
      <c r="G46" s="149"/>
      <c r="H46" s="149"/>
      <c r="I46" s="149"/>
      <c r="J46" s="143"/>
      <c r="K46" s="197"/>
      <c r="L46" s="149"/>
      <c r="M46" s="149"/>
    </row>
    <row r="47" spans="1:13" s="144" customFormat="1">
      <c r="A47" s="344"/>
      <c r="B47" s="350"/>
      <c r="C47" s="155">
        <v>1800000</v>
      </c>
      <c r="D47" s="156" t="s">
        <v>290</v>
      </c>
      <c r="E47" s="143"/>
      <c r="F47" s="149"/>
      <c r="G47" s="149"/>
      <c r="H47" s="149"/>
      <c r="I47" s="149"/>
      <c r="J47" s="143"/>
      <c r="K47" s="197"/>
      <c r="L47" s="149"/>
      <c r="M47" s="149"/>
    </row>
    <row r="48" spans="1:13" s="144" customFormat="1">
      <c r="A48" s="344"/>
      <c r="B48" s="350"/>
      <c r="C48" s="155"/>
      <c r="D48" s="156"/>
      <c r="E48" s="143"/>
      <c r="F48" s="149"/>
      <c r="G48" s="149"/>
      <c r="H48" s="149"/>
      <c r="I48" s="149"/>
      <c r="J48" s="143"/>
      <c r="K48" s="197"/>
      <c r="L48" s="149"/>
      <c r="M48" s="149"/>
    </row>
    <row r="49" spans="1:13" s="144" customFormat="1">
      <c r="A49" s="344"/>
      <c r="B49" s="351"/>
      <c r="C49" s="155"/>
      <c r="D49" s="155"/>
      <c r="E49" s="143"/>
      <c r="F49" s="149"/>
      <c r="G49" s="149"/>
      <c r="H49" s="149"/>
      <c r="I49" s="149"/>
      <c r="J49" s="143"/>
      <c r="K49" s="197"/>
      <c r="L49" s="149"/>
      <c r="M49" s="149"/>
    </row>
    <row r="50" spans="1:13" s="144" customFormat="1">
      <c r="A50" s="344"/>
      <c r="B50" s="356" t="s">
        <v>213</v>
      </c>
      <c r="C50" s="155"/>
      <c r="D50" s="199"/>
      <c r="E50" s="143"/>
      <c r="F50" s="149"/>
      <c r="G50" s="149"/>
      <c r="H50" s="149"/>
      <c r="I50" s="149"/>
      <c r="J50" s="143"/>
      <c r="K50" s="197"/>
      <c r="L50" s="149"/>
      <c r="M50" s="149"/>
    </row>
    <row r="51" spans="1:13" s="144" customFormat="1" ht="24" customHeight="1">
      <c r="A51" s="344"/>
      <c r="B51" s="357"/>
      <c r="C51" s="200"/>
      <c r="D51" s="199"/>
      <c r="E51" s="143"/>
      <c r="F51" s="149"/>
      <c r="G51" s="149"/>
      <c r="H51" s="149"/>
      <c r="I51" s="149"/>
      <c r="J51" s="143"/>
      <c r="K51" s="197"/>
      <c r="L51" s="149"/>
      <c r="M51" s="149"/>
    </row>
    <row r="52" spans="1:13" s="144" customFormat="1">
      <c r="A52" s="344"/>
      <c r="B52" s="357"/>
      <c r="C52" s="200"/>
      <c r="D52" s="199"/>
      <c r="E52" s="143"/>
      <c r="F52" s="149"/>
      <c r="G52" s="149"/>
      <c r="H52" s="149"/>
      <c r="I52" s="149"/>
      <c r="J52" s="143"/>
      <c r="K52" s="197"/>
      <c r="L52" s="149"/>
      <c r="M52" s="149"/>
    </row>
    <row r="53" spans="1:13" s="144" customFormat="1">
      <c r="A53" s="344"/>
      <c r="B53" s="357"/>
      <c r="C53" s="200"/>
      <c r="D53" s="199"/>
      <c r="E53" s="143"/>
      <c r="F53" s="149"/>
      <c r="G53" s="149"/>
      <c r="H53" s="149"/>
      <c r="I53" s="149"/>
      <c r="J53" s="143"/>
      <c r="K53" s="197"/>
      <c r="L53" s="149"/>
      <c r="M53" s="149"/>
    </row>
    <row r="54" spans="1:13" s="144" customFormat="1">
      <c r="A54" s="344"/>
      <c r="B54" s="357"/>
      <c r="C54" s="200"/>
      <c r="D54" s="199"/>
      <c r="E54" s="143"/>
      <c r="F54" s="149"/>
      <c r="G54" s="149"/>
      <c r="H54" s="149"/>
      <c r="I54" s="149"/>
      <c r="J54" s="143"/>
      <c r="K54" s="197"/>
      <c r="L54" s="149"/>
      <c r="M54" s="149"/>
    </row>
    <row r="55" spans="1:13" s="144" customFormat="1">
      <c r="A55" s="344"/>
      <c r="B55" s="357"/>
      <c r="C55" s="200"/>
      <c r="D55" s="199"/>
      <c r="E55" s="143"/>
      <c r="F55" s="149"/>
      <c r="G55" s="149"/>
      <c r="H55" s="149"/>
      <c r="I55" s="149"/>
      <c r="J55" s="143"/>
      <c r="K55" s="197"/>
      <c r="L55" s="149"/>
      <c r="M55" s="149"/>
    </row>
    <row r="56" spans="1:13" s="144" customFormat="1">
      <c r="A56" s="344"/>
      <c r="B56" s="357"/>
      <c r="C56" s="200"/>
      <c r="D56" s="199"/>
      <c r="E56" s="143"/>
      <c r="F56" s="149"/>
      <c r="G56" s="149"/>
      <c r="H56" s="149"/>
      <c r="I56" s="149"/>
      <c r="J56" s="143"/>
      <c r="K56" s="197"/>
      <c r="L56" s="149"/>
      <c r="M56" s="149"/>
    </row>
    <row r="57" spans="1:13" s="144" customFormat="1">
      <c r="A57" s="344"/>
      <c r="B57" s="357"/>
      <c r="C57" s="201"/>
      <c r="D57" s="202"/>
      <c r="E57" s="143"/>
      <c r="F57" s="149"/>
      <c r="G57" s="149"/>
      <c r="H57" s="149"/>
      <c r="I57" s="149"/>
      <c r="J57" s="143"/>
      <c r="K57" s="197"/>
      <c r="L57" s="149"/>
      <c r="M57" s="149"/>
    </row>
    <row r="58" spans="1:13" s="144" customFormat="1">
      <c r="A58" s="344"/>
      <c r="B58" s="357"/>
      <c r="C58" s="201"/>
      <c r="D58" s="202"/>
      <c r="E58" s="143"/>
      <c r="F58" s="149"/>
      <c r="G58" s="149"/>
      <c r="H58" s="149"/>
      <c r="I58" s="149"/>
      <c r="J58" s="143"/>
      <c r="K58" s="197"/>
      <c r="L58" s="149"/>
      <c r="M58" s="149"/>
    </row>
    <row r="59" spans="1:13" s="144" customFormat="1">
      <c r="A59" s="344"/>
      <c r="B59" s="357"/>
      <c r="C59" s="201"/>
      <c r="D59" s="202"/>
      <c r="E59" s="143"/>
      <c r="F59" s="149"/>
      <c r="G59" s="149"/>
      <c r="H59" s="149"/>
      <c r="I59" s="149"/>
      <c r="J59" s="143"/>
      <c r="K59" s="197"/>
      <c r="L59" s="149"/>
      <c r="M59" s="149"/>
    </row>
    <row r="60" spans="1:13" s="144" customFormat="1">
      <c r="A60" s="344"/>
      <c r="B60" s="357"/>
      <c r="C60" s="201"/>
      <c r="D60" s="202"/>
      <c r="E60" s="143"/>
      <c r="F60" s="149"/>
      <c r="G60" s="149"/>
      <c r="H60" s="149"/>
      <c r="I60" s="149"/>
      <c r="J60" s="143"/>
      <c r="K60" s="197"/>
      <c r="L60" s="149"/>
      <c r="M60" s="149"/>
    </row>
    <row r="61" spans="1:13" s="144" customFormat="1">
      <c r="A61" s="344"/>
      <c r="B61" s="357"/>
      <c r="C61" s="201"/>
      <c r="D61" s="202"/>
      <c r="E61" s="143"/>
      <c r="F61" s="149"/>
      <c r="G61" s="149"/>
      <c r="H61" s="149"/>
      <c r="I61" s="149"/>
      <c r="J61" s="143"/>
      <c r="K61" s="197"/>
      <c r="L61" s="149"/>
      <c r="M61" s="149"/>
    </row>
    <row r="62" spans="1:13" s="144" customFormat="1">
      <c r="A62" s="344"/>
      <c r="B62" s="357"/>
      <c r="C62" s="201"/>
      <c r="D62" s="202"/>
      <c r="E62" s="143"/>
      <c r="F62" s="149"/>
      <c r="G62" s="149"/>
      <c r="H62" s="149"/>
      <c r="I62" s="149"/>
      <c r="J62" s="143"/>
      <c r="K62" s="197"/>
      <c r="L62" s="149"/>
      <c r="M62" s="149"/>
    </row>
    <row r="63" spans="1:13" s="144" customFormat="1">
      <c r="A63" s="344"/>
      <c r="B63" s="357"/>
      <c r="C63" s="201"/>
      <c r="D63" s="202"/>
      <c r="E63" s="149"/>
      <c r="F63" s="149"/>
      <c r="G63" s="149"/>
      <c r="H63" s="149"/>
      <c r="I63" s="149"/>
      <c r="J63" s="143"/>
      <c r="K63" s="197"/>
      <c r="L63" s="149"/>
      <c r="M63" s="149"/>
    </row>
    <row r="64" spans="1:13" s="144" customFormat="1">
      <c r="A64" s="344"/>
      <c r="B64" s="358"/>
      <c r="C64" s="201"/>
      <c r="D64" s="202"/>
      <c r="E64" s="143"/>
      <c r="F64" s="149"/>
      <c r="G64" s="149"/>
      <c r="H64" s="149"/>
      <c r="I64" s="149"/>
      <c r="J64" s="143"/>
      <c r="K64" s="197"/>
      <c r="L64" s="149"/>
      <c r="M64" s="149"/>
    </row>
    <row r="65" spans="1:13" s="144" customFormat="1">
      <c r="A65" s="344"/>
      <c r="B65" s="357" t="s">
        <v>214</v>
      </c>
      <c r="C65" s="200"/>
      <c r="D65" s="199"/>
      <c r="E65" s="143"/>
      <c r="F65" s="149"/>
      <c r="G65" s="149"/>
      <c r="H65" s="149"/>
      <c r="I65" s="149"/>
      <c r="J65" s="143"/>
      <c r="K65" s="197"/>
      <c r="L65" s="149"/>
      <c r="M65" s="149"/>
    </row>
    <row r="66" spans="1:13" s="144" customFormat="1">
      <c r="A66" s="344"/>
      <c r="B66" s="357"/>
      <c r="C66" s="200"/>
      <c r="D66" s="199"/>
      <c r="E66" s="143"/>
      <c r="F66" s="149"/>
      <c r="G66" s="149"/>
      <c r="H66" s="149"/>
      <c r="I66" s="149"/>
      <c r="J66" s="143"/>
      <c r="K66" s="197"/>
      <c r="L66" s="149"/>
      <c r="M66" s="149"/>
    </row>
    <row r="67" spans="1:13" s="144" customFormat="1">
      <c r="A67" s="344"/>
      <c r="B67" s="357"/>
      <c r="C67" s="201"/>
      <c r="D67" s="202"/>
      <c r="E67" s="143"/>
      <c r="F67" s="149"/>
      <c r="G67" s="149"/>
      <c r="H67" s="149"/>
      <c r="I67" s="149"/>
      <c r="J67" s="143"/>
      <c r="K67" s="197"/>
      <c r="L67" s="149"/>
      <c r="M67" s="149"/>
    </row>
    <row r="68" spans="1:13" s="144" customFormat="1">
      <c r="A68" s="344"/>
      <c r="B68" s="357"/>
      <c r="C68" s="201"/>
      <c r="D68" s="202"/>
      <c r="E68" s="143"/>
      <c r="F68" s="149"/>
      <c r="G68" s="149"/>
      <c r="H68" s="149"/>
      <c r="I68" s="149"/>
      <c r="J68" s="143"/>
      <c r="K68" s="197"/>
      <c r="L68" s="149"/>
      <c r="M68" s="149"/>
    </row>
    <row r="69" spans="1:13" s="144" customFormat="1">
      <c r="A69" s="344"/>
      <c r="B69" s="357"/>
      <c r="C69" s="201"/>
      <c r="D69" s="202"/>
      <c r="E69" s="143"/>
      <c r="F69" s="149"/>
      <c r="G69" s="149"/>
      <c r="H69" s="149"/>
      <c r="I69" s="149"/>
      <c r="J69" s="143"/>
      <c r="K69" s="197"/>
      <c r="L69" s="149"/>
      <c r="M69" s="149"/>
    </row>
    <row r="70" spans="1:13" s="144" customFormat="1">
      <c r="A70" s="352"/>
      <c r="B70" s="358"/>
      <c r="C70" s="155"/>
      <c r="D70" s="156"/>
      <c r="E70" s="143"/>
      <c r="F70" s="149"/>
      <c r="G70" s="149"/>
      <c r="H70" s="149"/>
      <c r="I70" s="149"/>
      <c r="J70" s="143"/>
      <c r="K70" s="197"/>
      <c r="L70" s="149"/>
      <c r="M70" s="149"/>
    </row>
    <row r="71" spans="1:13" s="144" customFormat="1">
      <c r="A71" s="198" t="s">
        <v>215</v>
      </c>
      <c r="B71" s="145"/>
      <c r="C71" s="203">
        <f>SUM(C35:C70)</f>
        <v>7261403.2874162327</v>
      </c>
      <c r="D71" s="36"/>
      <c r="E71" s="149"/>
      <c r="F71" s="149"/>
      <c r="G71" s="149"/>
      <c r="H71" s="149"/>
      <c r="I71" s="149"/>
      <c r="J71" s="143"/>
      <c r="K71" s="197"/>
      <c r="L71" s="149"/>
      <c r="M71" s="149"/>
    </row>
    <row r="72" spans="1:13" s="144" customFormat="1">
      <c r="A72" s="204" t="s">
        <v>216</v>
      </c>
      <c r="B72" s="205"/>
      <c r="C72" s="206">
        <f>C34+C71</f>
        <v>74691419.287416235</v>
      </c>
      <c r="D72" s="36"/>
      <c r="E72" s="149"/>
      <c r="F72" s="149"/>
      <c r="G72" s="149"/>
      <c r="H72" s="149"/>
      <c r="I72" s="149"/>
      <c r="J72" s="143"/>
      <c r="K72" s="197"/>
      <c r="L72" s="149"/>
      <c r="M72" s="149"/>
    </row>
    <row r="73" spans="1:13" s="144" customFormat="1">
      <c r="A73" s="207" t="s">
        <v>217</v>
      </c>
      <c r="B73" s="207"/>
      <c r="C73" s="208">
        <f>C2-C34</f>
        <v>17226984</v>
      </c>
      <c r="D73" s="156" t="s">
        <v>218</v>
      </c>
      <c r="E73" s="143"/>
      <c r="F73" s="149"/>
      <c r="G73" s="149"/>
      <c r="H73" s="149"/>
      <c r="I73" s="149"/>
      <c r="J73" s="143"/>
      <c r="K73" s="197"/>
      <c r="L73" s="149"/>
      <c r="M73" s="149"/>
    </row>
    <row r="74" spans="1:13" s="144" customFormat="1">
      <c r="A74" s="209" t="s">
        <v>219</v>
      </c>
      <c r="B74" s="209"/>
      <c r="C74" s="210">
        <f>C2-C72</f>
        <v>9965580.7125837654</v>
      </c>
      <c r="D74" s="156" t="s">
        <v>220</v>
      </c>
      <c r="E74" s="149"/>
      <c r="F74" s="149"/>
      <c r="G74" s="149"/>
      <c r="H74" s="149"/>
      <c r="I74" s="149"/>
      <c r="J74" s="143"/>
      <c r="K74" s="197"/>
      <c r="L74" s="149"/>
      <c r="M74" s="149"/>
    </row>
    <row r="75" spans="1:13" s="144" customFormat="1">
      <c r="A75" s="211" t="s">
        <v>207</v>
      </c>
      <c r="B75" s="211"/>
      <c r="C75" s="212">
        <f>C34</f>
        <v>67430016</v>
      </c>
      <c r="D75" s="156"/>
      <c r="E75" s="149"/>
      <c r="F75" s="149"/>
      <c r="G75" s="149"/>
      <c r="H75" s="149"/>
      <c r="I75" s="149"/>
      <c r="J75" s="143"/>
      <c r="K75" s="197"/>
      <c r="L75" s="149"/>
      <c r="M75" s="149"/>
    </row>
    <row r="76" spans="1:13" s="144" customFormat="1">
      <c r="A76" s="214" t="s">
        <v>221</v>
      </c>
      <c r="B76" s="215"/>
      <c r="C76" s="216">
        <f>C74/C2</f>
        <v>0.11771714935071838</v>
      </c>
      <c r="D76" s="156"/>
      <c r="E76" s="149"/>
      <c r="J76" s="143"/>
      <c r="K76" s="197"/>
      <c r="L76" s="149"/>
      <c r="M76" s="149"/>
    </row>
    <row r="77" spans="1:13" s="144" customFormat="1">
      <c r="A77" s="214" t="s">
        <v>222</v>
      </c>
      <c r="B77" s="215"/>
      <c r="C77" s="216">
        <f>C73/C2</f>
        <v>0.20349154824763457</v>
      </c>
      <c r="D77" s="156"/>
      <c r="J77" s="143"/>
      <c r="K77" s="197"/>
      <c r="L77" s="149"/>
      <c r="M77" s="149"/>
    </row>
    <row r="78" spans="1:13" s="144" customFormat="1">
      <c r="A78" s="214" t="s">
        <v>223</v>
      </c>
      <c r="B78" s="215"/>
      <c r="C78" s="216">
        <f>C74/C75</f>
        <v>0.14779146296782378</v>
      </c>
      <c r="D78" s="156"/>
      <c r="J78" s="143"/>
      <c r="K78" s="197"/>
      <c r="L78" s="149"/>
      <c r="M78" s="149"/>
    </row>
    <row r="79" spans="1:13">
      <c r="A79" s="214" t="s">
        <v>224</v>
      </c>
      <c r="B79" s="215"/>
      <c r="C79" s="216">
        <f>C74/C73</f>
        <v>0.57848667605332227</v>
      </c>
      <c r="D79" s="156"/>
      <c r="F79" s="144"/>
      <c r="G79" s="144"/>
      <c r="H79" s="144"/>
      <c r="I79" s="144"/>
      <c r="J79" s="143"/>
      <c r="K79" s="197"/>
      <c r="L79" s="149"/>
      <c r="M79" s="149"/>
    </row>
    <row r="80" spans="1:13">
      <c r="A80" s="214" t="s">
        <v>179</v>
      </c>
      <c r="B80" s="215"/>
      <c r="C80" s="217">
        <f>C72/C73</f>
        <v>4.3357223346475644</v>
      </c>
      <c r="D80" s="156"/>
      <c r="F80" s="144"/>
      <c r="G80" s="144"/>
      <c r="H80" s="144"/>
      <c r="I80" s="144"/>
      <c r="J80" s="143"/>
      <c r="K80" s="197"/>
      <c r="L80" s="149"/>
      <c r="M80" s="149"/>
    </row>
    <row r="81" spans="1:13">
      <c r="A81" s="214" t="s">
        <v>225</v>
      </c>
      <c r="B81" s="218"/>
      <c r="C81" s="218">
        <f>C75/C2</f>
        <v>0.7965084517523654</v>
      </c>
      <c r="D81" s="9"/>
      <c r="F81" s="144"/>
      <c r="G81" s="144"/>
      <c r="H81" s="144"/>
      <c r="I81" s="144"/>
      <c r="J81" s="143"/>
      <c r="K81" s="197"/>
      <c r="L81" s="149"/>
      <c r="M81" s="149"/>
    </row>
    <row r="82" spans="1:13">
      <c r="A82" s="214" t="s">
        <v>226</v>
      </c>
      <c r="B82" s="218"/>
      <c r="C82" s="218">
        <f>C71/C2</f>
        <v>8.5774398896916182E-2</v>
      </c>
      <c r="D82" s="9"/>
      <c r="F82" s="144"/>
      <c r="G82" s="144"/>
      <c r="H82" s="144"/>
      <c r="I82" s="144"/>
      <c r="J82" s="149"/>
      <c r="K82" s="213"/>
      <c r="L82" s="149"/>
      <c r="M82" s="149"/>
    </row>
    <row r="83" spans="1:13">
      <c r="A83" s="214" t="s">
        <v>227</v>
      </c>
      <c r="B83" s="218"/>
      <c r="C83" s="218">
        <f>C72/C2</f>
        <v>0.88228285064928158</v>
      </c>
      <c r="D83" s="9"/>
      <c r="F83" s="144"/>
      <c r="G83" s="144"/>
      <c r="H83" s="144"/>
      <c r="I83" s="144"/>
      <c r="J83" s="149"/>
      <c r="K83" s="213"/>
      <c r="L83" s="149"/>
      <c r="M83" s="149"/>
    </row>
    <row r="84" spans="1:13">
      <c r="A84" s="214" t="s">
        <v>228</v>
      </c>
      <c r="B84" s="218"/>
      <c r="C84" s="218">
        <f>SUM(C35:C44)/C71</f>
        <v>0.52166065862351751</v>
      </c>
      <c r="D84" s="9"/>
      <c r="F84" s="144"/>
      <c r="G84" s="144"/>
      <c r="H84" s="144"/>
      <c r="I84" s="144"/>
      <c r="J84" s="149"/>
      <c r="K84" s="213"/>
      <c r="L84" s="149"/>
      <c r="M84" s="149"/>
    </row>
    <row r="85" spans="1:13">
      <c r="A85" s="214" t="s">
        <v>229</v>
      </c>
      <c r="B85" s="218"/>
      <c r="C85" s="218">
        <f>SUM(C46:C49)/C71</f>
        <v>0.29629418118862616</v>
      </c>
      <c r="D85" s="9"/>
    </row>
    <row r="86" spans="1:13">
      <c r="A86" s="214" t="s">
        <v>230</v>
      </c>
      <c r="B86" s="218"/>
      <c r="C86" s="218">
        <f>SUM(C65:C70)/C71</f>
        <v>0</v>
      </c>
      <c r="D86" s="9"/>
    </row>
  </sheetData>
  <mergeCells count="11">
    <mergeCell ref="A35:A45"/>
    <mergeCell ref="A46:A70"/>
    <mergeCell ref="B46:B49"/>
    <mergeCell ref="B50:B64"/>
    <mergeCell ref="B65:B70"/>
    <mergeCell ref="A28:A33"/>
    <mergeCell ref="A1:D1"/>
    <mergeCell ref="F1:M1"/>
    <mergeCell ref="A3:A5"/>
    <mergeCell ref="A7:A8"/>
    <mergeCell ref="A23:A27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A5046-4854-45DC-BF94-B6919F347346}">
  <dimension ref="A1:CG19"/>
  <sheetViews>
    <sheetView topLeftCell="A13" workbookViewId="0">
      <pane xSplit="1" topLeftCell="AN1" activePane="topRight" state="frozen"/>
      <selection activeCell="C46" sqref="C46:C48"/>
      <selection pane="topRight" activeCell="AV25" sqref="AV25"/>
    </sheetView>
  </sheetViews>
  <sheetFormatPr defaultRowHeight="14.5"/>
  <cols>
    <col min="4" max="4" width="19.36328125" customWidth="1"/>
    <col min="6" max="6" width="12.6328125" customWidth="1"/>
    <col min="7" max="7" width="13" customWidth="1"/>
    <col min="8" max="8" width="12.6328125" customWidth="1"/>
    <col min="9" max="9" width="15.81640625" customWidth="1"/>
    <col min="10" max="10" width="14" customWidth="1"/>
    <col min="13" max="13" width="12.453125" customWidth="1"/>
    <col min="47" max="47" width="10.26953125" customWidth="1"/>
    <col min="48" max="48" width="12.453125" customWidth="1"/>
    <col min="49" max="49" width="44.36328125" customWidth="1"/>
    <col min="50" max="50" width="21.1796875" customWidth="1"/>
    <col min="51" max="51" width="12.81640625" customWidth="1"/>
    <col min="52" max="52" width="11.453125" customWidth="1"/>
  </cols>
  <sheetData>
    <row r="1" spans="1:85">
      <c r="A1" s="219" t="s">
        <v>88</v>
      </c>
      <c r="B1" s="220" t="s">
        <v>8</v>
      </c>
      <c r="C1" s="220" t="s">
        <v>9</v>
      </c>
      <c r="D1" s="221" t="s">
        <v>89</v>
      </c>
      <c r="E1" s="220" t="s">
        <v>90</v>
      </c>
      <c r="F1" s="222" t="s">
        <v>231</v>
      </c>
      <c r="G1" s="220" t="s">
        <v>91</v>
      </c>
      <c r="H1" s="220" t="s">
        <v>92</v>
      </c>
      <c r="I1" s="223" t="s">
        <v>93</v>
      </c>
      <c r="J1" s="220" t="s">
        <v>133</v>
      </c>
      <c r="K1" s="220" t="s">
        <v>95</v>
      </c>
      <c r="L1" s="220" t="s">
        <v>96</v>
      </c>
      <c r="M1" s="224" t="s">
        <v>232</v>
      </c>
      <c r="N1" s="220" t="s">
        <v>98</v>
      </c>
      <c r="O1" s="220" t="s">
        <v>99</v>
      </c>
      <c r="P1" s="375" t="s">
        <v>100</v>
      </c>
      <c r="Q1" s="372"/>
      <c r="R1" s="372"/>
      <c r="S1" s="372"/>
      <c r="T1" s="373"/>
      <c r="U1" s="376" t="s">
        <v>20</v>
      </c>
      <c r="V1" s="372"/>
      <c r="W1" s="372"/>
      <c r="X1" s="372"/>
      <c r="Y1" s="373"/>
      <c r="Z1" s="377" t="s">
        <v>101</v>
      </c>
      <c r="AA1" s="372"/>
      <c r="AB1" s="373"/>
      <c r="AC1" s="378" t="s">
        <v>102</v>
      </c>
      <c r="AD1" s="372"/>
      <c r="AE1" s="373"/>
      <c r="AF1" s="379" t="s">
        <v>103</v>
      </c>
      <c r="AG1" s="372"/>
      <c r="AH1" s="373"/>
      <c r="AI1" s="380" t="s">
        <v>104</v>
      </c>
      <c r="AJ1" s="372"/>
      <c r="AK1" s="373"/>
      <c r="AL1" s="371" t="s">
        <v>105</v>
      </c>
      <c r="AM1" s="372"/>
      <c r="AN1" s="373"/>
      <c r="AO1" s="371" t="s">
        <v>106</v>
      </c>
      <c r="AP1" s="372"/>
      <c r="AQ1" s="373"/>
      <c r="AR1" s="371" t="s">
        <v>233</v>
      </c>
      <c r="AS1" s="372"/>
      <c r="AT1" s="373"/>
      <c r="AU1" s="220" t="s">
        <v>107</v>
      </c>
      <c r="AV1" s="220" t="s">
        <v>108</v>
      </c>
      <c r="AW1" s="225" t="s">
        <v>109</v>
      </c>
      <c r="AX1" s="226" t="s">
        <v>234</v>
      </c>
      <c r="AY1" s="220" t="s">
        <v>111</v>
      </c>
      <c r="AZ1" s="227" t="s">
        <v>235</v>
      </c>
      <c r="BA1" s="374" t="s">
        <v>136</v>
      </c>
    </row>
    <row r="2" spans="1:85">
      <c r="A2" s="228"/>
      <c r="B2" s="229"/>
      <c r="C2" s="229"/>
      <c r="D2" s="230"/>
      <c r="E2" s="229"/>
      <c r="F2" s="229"/>
      <c r="G2" s="231">
        <f>SUM(G4:G19)</f>
        <v>60800000</v>
      </c>
      <c r="H2" s="231">
        <f t="shared" ref="H2:AW2" si="0">SUM(H4:H19)</f>
        <v>57000000</v>
      </c>
      <c r="I2" s="231">
        <f t="shared" si="0"/>
        <v>57000000</v>
      </c>
      <c r="J2" s="231">
        <f t="shared" si="0"/>
        <v>3600000</v>
      </c>
      <c r="K2" s="231">
        <f t="shared" si="0"/>
        <v>480</v>
      </c>
      <c r="L2" s="231">
        <f t="shared" si="0"/>
        <v>480</v>
      </c>
      <c r="M2" s="231">
        <f t="shared" si="0"/>
        <v>0</v>
      </c>
      <c r="N2" s="231">
        <f t="shared" si="0"/>
        <v>0</v>
      </c>
      <c r="O2" s="231">
        <f t="shared" si="0"/>
        <v>26</v>
      </c>
      <c r="P2" s="231">
        <f t="shared" si="0"/>
        <v>9037</v>
      </c>
      <c r="Q2" s="231">
        <f t="shared" si="0"/>
        <v>11905</v>
      </c>
      <c r="R2" s="231">
        <f t="shared" si="0"/>
        <v>4006</v>
      </c>
      <c r="S2" s="231">
        <f t="shared" si="0"/>
        <v>63500</v>
      </c>
      <c r="T2" s="231">
        <f t="shared" si="0"/>
        <v>15455000</v>
      </c>
      <c r="U2" s="231">
        <f t="shared" si="0"/>
        <v>0</v>
      </c>
      <c r="V2" s="231">
        <f t="shared" si="0"/>
        <v>0</v>
      </c>
      <c r="W2" s="231">
        <f t="shared" si="0"/>
        <v>24</v>
      </c>
      <c r="X2" s="231">
        <f t="shared" si="0"/>
        <v>1800000</v>
      </c>
      <c r="Y2" s="231">
        <f t="shared" si="0"/>
        <v>2880000</v>
      </c>
      <c r="Z2" s="231">
        <f t="shared" si="0"/>
        <v>0</v>
      </c>
      <c r="AA2" s="231">
        <f t="shared" si="0"/>
        <v>0</v>
      </c>
      <c r="AB2" s="231">
        <f t="shared" si="0"/>
        <v>0</v>
      </c>
      <c r="AC2" s="231">
        <f t="shared" si="0"/>
        <v>10</v>
      </c>
      <c r="AD2" s="231">
        <f t="shared" si="0"/>
        <v>1500000</v>
      </c>
      <c r="AE2" s="231">
        <f t="shared" si="0"/>
        <v>1000000</v>
      </c>
      <c r="AF2" s="231">
        <f t="shared" si="0"/>
        <v>23</v>
      </c>
      <c r="AG2" s="231">
        <f t="shared" si="0"/>
        <v>900000</v>
      </c>
      <c r="AH2" s="231">
        <f t="shared" si="0"/>
        <v>1380000</v>
      </c>
      <c r="AI2" s="231">
        <f t="shared" si="0"/>
        <v>3</v>
      </c>
      <c r="AJ2" s="231">
        <f t="shared" si="0"/>
        <v>450000</v>
      </c>
      <c r="AK2" s="231">
        <f t="shared" si="0"/>
        <v>450000</v>
      </c>
      <c r="AL2" s="231">
        <f t="shared" si="0"/>
        <v>0</v>
      </c>
      <c r="AM2" s="231">
        <f t="shared" si="0"/>
        <v>0</v>
      </c>
      <c r="AN2" s="231">
        <f t="shared" si="0"/>
        <v>0</v>
      </c>
      <c r="AO2" s="231">
        <f t="shared" si="0"/>
        <v>24</v>
      </c>
      <c r="AP2" s="231">
        <f t="shared" si="0"/>
        <v>1800000</v>
      </c>
      <c r="AQ2" s="231">
        <f t="shared" si="0"/>
        <v>2880000</v>
      </c>
      <c r="AR2" s="231">
        <f t="shared" si="0"/>
        <v>3</v>
      </c>
      <c r="AS2" s="231">
        <f t="shared" si="0"/>
        <v>8000</v>
      </c>
      <c r="AT2" s="231">
        <f t="shared" si="0"/>
        <v>12000</v>
      </c>
      <c r="AU2" s="231">
        <f>SUM(AU4:AU19)</f>
        <v>24057000</v>
      </c>
      <c r="AV2" s="231">
        <f>SUM(AV4:AV19)</f>
        <v>84657000</v>
      </c>
      <c r="AW2" s="231">
        <f t="shared" si="0"/>
        <v>0</v>
      </c>
      <c r="AX2" s="231">
        <f>SUM(AX4:AX19)</f>
        <v>84657000</v>
      </c>
      <c r="AY2" s="229"/>
      <c r="AZ2" s="232"/>
      <c r="BA2" s="374"/>
    </row>
    <row r="3" spans="1:85">
      <c r="A3" s="233"/>
      <c r="B3" s="233"/>
      <c r="C3" s="233"/>
      <c r="D3" s="234"/>
      <c r="E3" s="233"/>
      <c r="F3" s="233"/>
      <c r="G3" s="233"/>
      <c r="H3" s="233"/>
      <c r="I3" s="235"/>
      <c r="J3" s="233"/>
      <c r="K3" s="233"/>
      <c r="L3" s="233"/>
      <c r="M3" s="236" t="s">
        <v>236</v>
      </c>
      <c r="N3" s="233" t="s">
        <v>237</v>
      </c>
      <c r="O3" s="233"/>
      <c r="P3" s="237" t="s">
        <v>121</v>
      </c>
      <c r="Q3" s="237" t="s">
        <v>122</v>
      </c>
      <c r="R3" s="233" t="s">
        <v>123</v>
      </c>
      <c r="S3" s="233" t="s">
        <v>124</v>
      </c>
      <c r="T3" s="238" t="s">
        <v>125</v>
      </c>
      <c r="U3" s="237" t="s">
        <v>121</v>
      </c>
      <c r="V3" s="237" t="s">
        <v>126</v>
      </c>
      <c r="W3" s="233" t="s">
        <v>123</v>
      </c>
      <c r="X3" s="233" t="s">
        <v>124</v>
      </c>
      <c r="Y3" s="237" t="s">
        <v>125</v>
      </c>
      <c r="Z3" s="239" t="s">
        <v>123</v>
      </c>
      <c r="AA3" s="233" t="s">
        <v>124</v>
      </c>
      <c r="AB3" s="238" t="s">
        <v>125</v>
      </c>
      <c r="AC3" s="239" t="s">
        <v>123</v>
      </c>
      <c r="AD3" s="233" t="s">
        <v>124</v>
      </c>
      <c r="AE3" s="238" t="s">
        <v>125</v>
      </c>
      <c r="AF3" s="233" t="s">
        <v>123</v>
      </c>
      <c r="AG3" s="233" t="s">
        <v>124</v>
      </c>
      <c r="AH3" s="238" t="s">
        <v>125</v>
      </c>
      <c r="AI3" s="233" t="s">
        <v>123</v>
      </c>
      <c r="AJ3" s="233" t="s">
        <v>124</v>
      </c>
      <c r="AK3" s="238" t="s">
        <v>125</v>
      </c>
      <c r="AL3" s="233" t="s">
        <v>123</v>
      </c>
      <c r="AM3" s="233" t="s">
        <v>124</v>
      </c>
      <c r="AN3" s="238" t="s">
        <v>125</v>
      </c>
      <c r="AO3" s="233" t="s">
        <v>123</v>
      </c>
      <c r="AP3" s="233" t="s">
        <v>124</v>
      </c>
      <c r="AQ3" s="238" t="s">
        <v>125</v>
      </c>
      <c r="AR3" s="238" t="s">
        <v>123</v>
      </c>
      <c r="AS3" s="238" t="s">
        <v>124</v>
      </c>
      <c r="AT3" s="238" t="s">
        <v>125</v>
      </c>
      <c r="AU3" s="233"/>
      <c r="AV3" s="240"/>
      <c r="AW3" s="233"/>
      <c r="AX3" s="241"/>
      <c r="AY3" s="242">
        <f>AX3-AV3</f>
        <v>0</v>
      </c>
      <c r="AZ3" s="243"/>
      <c r="BA3" s="244"/>
    </row>
    <row r="4" spans="1:85" ht="19.5" customHeight="1">
      <c r="A4" s="311" t="s">
        <v>248</v>
      </c>
      <c r="B4" s="312" t="s">
        <v>144</v>
      </c>
      <c r="C4" s="313">
        <v>0</v>
      </c>
      <c r="D4" s="314" t="s">
        <v>238</v>
      </c>
      <c r="E4" s="313">
        <v>1</v>
      </c>
      <c r="F4" s="315"/>
      <c r="G4" s="315"/>
      <c r="H4" s="315"/>
      <c r="I4" s="315"/>
      <c r="J4" s="315"/>
      <c r="K4" s="313">
        <v>30</v>
      </c>
      <c r="L4" s="313">
        <v>30</v>
      </c>
      <c r="M4" s="316"/>
      <c r="N4" s="317"/>
      <c r="O4" s="318"/>
      <c r="P4" s="313"/>
      <c r="Q4" s="313"/>
      <c r="R4" s="313">
        <v>1138</v>
      </c>
      <c r="S4" s="317">
        <v>3500</v>
      </c>
      <c r="T4" s="319">
        <f t="shared" ref="T4:T19" si="1">R4*S4</f>
        <v>3983000</v>
      </c>
      <c r="U4" s="313"/>
      <c r="V4" s="313"/>
      <c r="W4" s="318"/>
      <c r="X4" s="313"/>
      <c r="Y4" s="313"/>
      <c r="Z4" s="318"/>
      <c r="AA4" s="313"/>
      <c r="AB4" s="313"/>
      <c r="AC4" s="312"/>
      <c r="AD4" s="313"/>
      <c r="AE4" s="313"/>
      <c r="AF4" s="313"/>
      <c r="AG4" s="313"/>
      <c r="AH4" s="313"/>
      <c r="AI4" s="313"/>
      <c r="AJ4" s="313"/>
      <c r="AK4" s="313"/>
      <c r="AL4" s="318"/>
      <c r="AM4" s="313"/>
      <c r="AN4" s="320"/>
      <c r="AO4" s="313"/>
      <c r="AP4" s="313"/>
      <c r="AQ4" s="314"/>
      <c r="AR4" s="314"/>
      <c r="AS4" s="314"/>
      <c r="AT4" s="314"/>
      <c r="AU4" s="321">
        <f t="shared" ref="AU4:AU19" si="2">(SUM(T4,Y4,AB4,AE4,AH4,AK4,AN4,AQ4,AT4))</f>
        <v>3983000</v>
      </c>
      <c r="AV4" s="322">
        <f t="shared" ref="AV4:AV19" si="3">AU4+I4*E4+J4+M4+N4</f>
        <v>3983000</v>
      </c>
      <c r="AW4" s="313"/>
      <c r="AX4" s="323">
        <f>3683000+300000</f>
        <v>3983000</v>
      </c>
      <c r="AY4" s="324" t="str">
        <f t="shared" ref="AY4:AY19" si="4">IF(AND(AV4&gt;0,AX4=0),"Chưa TT",IF(AX4-AV4&gt;0,"Thừa",IF(AND(AV4=0,AX4=0),"Trống",IF(AND(AX4&gt;0,AV4=0),"Đóng cọc",IF(AX4-AV4&lt;0,"Thiếu",IF(AX4-AV4=0,"Đủ",0))))))</f>
        <v>Đủ</v>
      </c>
      <c r="AZ4" s="325">
        <f t="shared" ref="AZ4:AZ19" si="5">AX4-AV4</f>
        <v>0</v>
      </c>
      <c r="BA4" s="326"/>
      <c r="BB4" s="317"/>
      <c r="BC4" s="313"/>
      <c r="BD4" s="313"/>
      <c r="BE4" s="313"/>
      <c r="BF4" s="313"/>
      <c r="BG4" s="313"/>
      <c r="BH4" s="313"/>
      <c r="BI4" s="313"/>
      <c r="BJ4" s="313"/>
      <c r="BK4" s="313"/>
      <c r="BL4" s="317"/>
      <c r="BM4" s="313"/>
      <c r="BN4" s="313"/>
      <c r="BO4" s="313"/>
      <c r="BP4" s="313"/>
      <c r="BQ4" s="313"/>
      <c r="BR4" s="313"/>
      <c r="BS4" s="327"/>
      <c r="BT4" s="313"/>
      <c r="BU4" s="327"/>
      <c r="BV4" s="313"/>
      <c r="BW4" s="313"/>
      <c r="BX4" s="313"/>
      <c r="BY4" s="313"/>
      <c r="BZ4" s="313"/>
      <c r="CA4" s="313"/>
      <c r="CB4" s="313"/>
      <c r="CC4" s="313"/>
      <c r="CD4" s="313"/>
      <c r="CE4" s="313"/>
      <c r="CF4" s="313"/>
      <c r="CG4" s="313"/>
    </row>
    <row r="5" spans="1:85" ht="19.5" customHeight="1">
      <c r="A5" s="328" t="s">
        <v>37</v>
      </c>
      <c r="B5" s="328" t="s">
        <v>144</v>
      </c>
      <c r="C5" s="314">
        <v>101</v>
      </c>
      <c r="D5" s="314" t="s">
        <v>238</v>
      </c>
      <c r="E5" s="314">
        <v>1</v>
      </c>
      <c r="F5" s="329">
        <v>3500000</v>
      </c>
      <c r="G5" s="330">
        <v>3600000</v>
      </c>
      <c r="H5" s="329">
        <v>3500000</v>
      </c>
      <c r="I5" s="329">
        <v>3500000</v>
      </c>
      <c r="J5" s="329"/>
      <c r="K5" s="314">
        <v>30</v>
      </c>
      <c r="L5" s="314">
        <v>30</v>
      </c>
      <c r="M5" s="331"/>
      <c r="N5" s="319"/>
      <c r="O5" s="332">
        <v>1</v>
      </c>
      <c r="P5" s="314">
        <v>472</v>
      </c>
      <c r="Q5" s="314">
        <v>623</v>
      </c>
      <c r="R5" s="314">
        <f t="shared" ref="R5:R19" si="6">Q5-P5</f>
        <v>151</v>
      </c>
      <c r="S5" s="319">
        <v>4000</v>
      </c>
      <c r="T5" s="319">
        <f t="shared" si="1"/>
        <v>604000</v>
      </c>
      <c r="U5" s="314"/>
      <c r="V5" s="314"/>
      <c r="W5" s="332">
        <v>1</v>
      </c>
      <c r="X5" s="314">
        <v>120000</v>
      </c>
      <c r="Y5" s="314">
        <f t="shared" ref="Y5:Y19" si="7">W5*X5</f>
        <v>120000</v>
      </c>
      <c r="Z5" s="332"/>
      <c r="AA5" s="314"/>
      <c r="AB5" s="314"/>
      <c r="AC5" s="328">
        <v>1</v>
      </c>
      <c r="AD5" s="314">
        <v>100000</v>
      </c>
      <c r="AE5" s="314">
        <f t="shared" ref="AE5:AE19" si="8">AC5*AD5</f>
        <v>100000</v>
      </c>
      <c r="AF5" s="314">
        <v>1</v>
      </c>
      <c r="AG5" s="314">
        <v>60000</v>
      </c>
      <c r="AH5" s="314">
        <f t="shared" ref="AH5:AH19" si="9">AF5*AG5</f>
        <v>60000</v>
      </c>
      <c r="AI5" s="314"/>
      <c r="AJ5" s="314"/>
      <c r="AK5" s="314"/>
      <c r="AL5" s="332"/>
      <c r="AM5" s="314"/>
      <c r="AN5" s="333"/>
      <c r="AO5" s="314">
        <v>1</v>
      </c>
      <c r="AP5" s="314">
        <v>120000</v>
      </c>
      <c r="AQ5" s="314">
        <f t="shared" ref="AQ5:AQ19" si="10">AO5*AP5</f>
        <v>120000</v>
      </c>
      <c r="AR5" s="313"/>
      <c r="AS5" s="313"/>
      <c r="AT5" s="313">
        <f t="shared" ref="AT5:AT19" si="11">AR5*AS5</f>
        <v>0</v>
      </c>
      <c r="AU5" s="321">
        <f t="shared" si="2"/>
        <v>1004000</v>
      </c>
      <c r="AV5" s="322">
        <f t="shared" si="3"/>
        <v>4504000</v>
      </c>
      <c r="AW5" s="314"/>
      <c r="AX5" s="334">
        <f>604000+3900000</f>
        <v>4504000</v>
      </c>
      <c r="AY5" s="324" t="str">
        <f t="shared" si="4"/>
        <v>Đủ</v>
      </c>
      <c r="AZ5" s="325">
        <f t="shared" si="5"/>
        <v>0</v>
      </c>
      <c r="BA5" s="335"/>
      <c r="BB5" s="319"/>
      <c r="BC5" s="314"/>
      <c r="BD5" s="314"/>
      <c r="BE5" s="314"/>
      <c r="BF5" s="314"/>
      <c r="BG5" s="314"/>
      <c r="BH5" s="314"/>
      <c r="BI5" s="314"/>
      <c r="BJ5" s="314"/>
      <c r="BK5" s="314"/>
      <c r="BL5" s="319"/>
      <c r="BM5" s="314"/>
      <c r="BN5" s="314"/>
      <c r="BO5" s="314"/>
      <c r="BP5" s="314"/>
      <c r="BQ5" s="314"/>
      <c r="BR5" s="314"/>
      <c r="BS5" s="336"/>
      <c r="BT5" s="314"/>
      <c r="BU5" s="336"/>
      <c r="BV5" s="314"/>
      <c r="BW5" s="314"/>
      <c r="BX5" s="314"/>
      <c r="BY5" s="314"/>
      <c r="BZ5" s="314"/>
      <c r="CA5" s="314"/>
      <c r="CB5" s="314"/>
      <c r="CC5" s="314"/>
      <c r="CD5" s="314"/>
      <c r="CE5" s="314"/>
      <c r="CF5" s="314"/>
      <c r="CG5" s="314"/>
    </row>
    <row r="6" spans="1:85" ht="17.25" customHeight="1">
      <c r="A6" s="328" t="s">
        <v>38</v>
      </c>
      <c r="B6" s="328" t="s">
        <v>144</v>
      </c>
      <c r="C6" s="314">
        <v>201</v>
      </c>
      <c r="D6" s="314" t="s">
        <v>238</v>
      </c>
      <c r="E6" s="314">
        <v>1</v>
      </c>
      <c r="F6" s="319">
        <v>4100000</v>
      </c>
      <c r="G6" s="330">
        <v>4200000</v>
      </c>
      <c r="H6" s="319">
        <v>4100000</v>
      </c>
      <c r="I6" s="319">
        <v>4100000</v>
      </c>
      <c r="J6" s="319"/>
      <c r="K6" s="314">
        <v>30</v>
      </c>
      <c r="L6" s="314">
        <v>30</v>
      </c>
      <c r="M6" s="331"/>
      <c r="N6" s="319"/>
      <c r="O6" s="328">
        <v>2</v>
      </c>
      <c r="P6" s="314">
        <v>375</v>
      </c>
      <c r="Q6" s="314">
        <v>509</v>
      </c>
      <c r="R6" s="314">
        <f t="shared" si="6"/>
        <v>134</v>
      </c>
      <c r="S6" s="319">
        <v>4000</v>
      </c>
      <c r="T6" s="319">
        <f t="shared" si="1"/>
        <v>536000</v>
      </c>
      <c r="U6" s="314"/>
      <c r="V6" s="314"/>
      <c r="W6" s="332">
        <v>2</v>
      </c>
      <c r="X6" s="314">
        <v>120000</v>
      </c>
      <c r="Y6" s="314">
        <f t="shared" si="7"/>
        <v>240000</v>
      </c>
      <c r="Z6" s="328"/>
      <c r="AA6" s="314"/>
      <c r="AB6" s="314"/>
      <c r="AC6" s="314">
        <v>1</v>
      </c>
      <c r="AD6" s="314">
        <v>100000</v>
      </c>
      <c r="AE6" s="314">
        <f t="shared" si="8"/>
        <v>100000</v>
      </c>
      <c r="AF6" s="314">
        <v>2</v>
      </c>
      <c r="AG6" s="314">
        <v>60000</v>
      </c>
      <c r="AH6" s="314">
        <f t="shared" si="9"/>
        <v>120000</v>
      </c>
      <c r="AI6" s="314">
        <v>1</v>
      </c>
      <c r="AJ6" s="314">
        <v>150000</v>
      </c>
      <c r="AK6" s="314">
        <f>AI6*AJ6</f>
        <v>150000</v>
      </c>
      <c r="AL6" s="328"/>
      <c r="AM6" s="314"/>
      <c r="AN6" s="333"/>
      <c r="AO6" s="314">
        <v>2</v>
      </c>
      <c r="AP6" s="314">
        <v>120000</v>
      </c>
      <c r="AQ6" s="319">
        <f t="shared" si="10"/>
        <v>240000</v>
      </c>
      <c r="AR6" s="317"/>
      <c r="AS6" s="317"/>
      <c r="AT6" s="313">
        <f t="shared" si="11"/>
        <v>0</v>
      </c>
      <c r="AU6" s="321">
        <f t="shared" si="2"/>
        <v>1386000</v>
      </c>
      <c r="AV6" s="322">
        <f t="shared" si="3"/>
        <v>5486000</v>
      </c>
      <c r="AW6" s="314"/>
      <c r="AX6" s="334">
        <v>5486000</v>
      </c>
      <c r="AY6" s="324" t="str">
        <f t="shared" si="4"/>
        <v>Đủ</v>
      </c>
      <c r="AZ6" s="325">
        <f t="shared" si="5"/>
        <v>0</v>
      </c>
      <c r="BA6" s="335"/>
      <c r="BB6" s="319"/>
      <c r="BC6" s="314"/>
      <c r="BD6" s="314"/>
      <c r="BE6" s="314"/>
      <c r="BF6" s="314"/>
      <c r="BG6" s="314"/>
      <c r="BH6" s="314"/>
      <c r="BI6" s="314"/>
      <c r="BJ6" s="314"/>
      <c r="BK6" s="314"/>
      <c r="BL6" s="319"/>
      <c r="BM6" s="314"/>
      <c r="BN6" s="314"/>
      <c r="BO6" s="314"/>
      <c r="BP6" s="314"/>
      <c r="BQ6" s="314"/>
      <c r="BR6" s="314"/>
      <c r="BS6" s="336"/>
      <c r="BT6" s="314"/>
      <c r="BU6" s="336"/>
      <c r="BV6" s="314"/>
      <c r="BW6" s="314"/>
      <c r="BX6" s="314"/>
      <c r="BY6" s="314"/>
      <c r="BZ6" s="314"/>
      <c r="CA6" s="314">
        <v>1935</v>
      </c>
      <c r="CB6" s="314">
        <v>1967</v>
      </c>
      <c r="CC6" s="314">
        <f>CB6-CA6</f>
        <v>32</v>
      </c>
      <c r="CD6" s="314">
        <v>3800</v>
      </c>
      <c r="CE6" s="314">
        <f>CC6*CD6</f>
        <v>121600</v>
      </c>
      <c r="CF6" s="314"/>
      <c r="CG6" s="314">
        <f>CE6/3</f>
        <v>40533.333333333336</v>
      </c>
    </row>
    <row r="7" spans="1:85" ht="17.25" customHeight="1">
      <c r="A7" s="328" t="s">
        <v>39</v>
      </c>
      <c r="B7" s="328" t="s">
        <v>144</v>
      </c>
      <c r="C7" s="314">
        <v>202</v>
      </c>
      <c r="D7" s="314" t="s">
        <v>238</v>
      </c>
      <c r="E7" s="314">
        <v>1</v>
      </c>
      <c r="F7" s="319">
        <v>3800000</v>
      </c>
      <c r="G7" s="330">
        <v>4000000</v>
      </c>
      <c r="H7" s="319">
        <v>3800000</v>
      </c>
      <c r="I7" s="319">
        <v>3800000</v>
      </c>
      <c r="J7" s="319"/>
      <c r="K7" s="314">
        <v>30</v>
      </c>
      <c r="L7" s="314">
        <v>30</v>
      </c>
      <c r="M7" s="331"/>
      <c r="N7" s="319"/>
      <c r="O7" s="328">
        <v>2</v>
      </c>
      <c r="P7" s="314">
        <v>1071</v>
      </c>
      <c r="Q7" s="314">
        <v>1632</v>
      </c>
      <c r="R7" s="314">
        <f t="shared" si="6"/>
        <v>561</v>
      </c>
      <c r="S7" s="319">
        <v>4000</v>
      </c>
      <c r="T7" s="319">
        <f t="shared" si="1"/>
        <v>2244000</v>
      </c>
      <c r="U7" s="314"/>
      <c r="V7" s="314"/>
      <c r="W7" s="332">
        <v>2</v>
      </c>
      <c r="X7" s="314">
        <v>120000</v>
      </c>
      <c r="Y7" s="314">
        <f t="shared" si="7"/>
        <v>240000</v>
      </c>
      <c r="Z7" s="328"/>
      <c r="AA7" s="314"/>
      <c r="AB7" s="314"/>
      <c r="AC7" s="314">
        <v>1</v>
      </c>
      <c r="AD7" s="314">
        <v>100000</v>
      </c>
      <c r="AE7" s="314">
        <f t="shared" si="8"/>
        <v>100000</v>
      </c>
      <c r="AF7" s="314">
        <v>2</v>
      </c>
      <c r="AG7" s="314">
        <v>60000</v>
      </c>
      <c r="AH7" s="314">
        <f t="shared" si="9"/>
        <v>120000</v>
      </c>
      <c r="AI7" s="314"/>
      <c r="AJ7" s="314"/>
      <c r="AK7" s="314"/>
      <c r="AL7" s="328"/>
      <c r="AM7" s="314"/>
      <c r="AN7" s="333">
        <f>AL7*AM7</f>
        <v>0</v>
      </c>
      <c r="AO7" s="314">
        <v>2</v>
      </c>
      <c r="AP7" s="314">
        <v>120000</v>
      </c>
      <c r="AQ7" s="319">
        <f t="shared" si="10"/>
        <v>240000</v>
      </c>
      <c r="AR7" s="317"/>
      <c r="AS7" s="317"/>
      <c r="AT7" s="313">
        <f t="shared" si="11"/>
        <v>0</v>
      </c>
      <c r="AU7" s="321">
        <f t="shared" si="2"/>
        <v>2944000</v>
      </c>
      <c r="AV7" s="322">
        <f t="shared" si="3"/>
        <v>6744000</v>
      </c>
      <c r="AW7" s="314"/>
      <c r="AX7" s="334">
        <v>6744000</v>
      </c>
      <c r="AY7" s="324" t="str">
        <f t="shared" si="4"/>
        <v>Đủ</v>
      </c>
      <c r="AZ7" s="325">
        <f t="shared" si="5"/>
        <v>0</v>
      </c>
      <c r="BA7" s="335"/>
      <c r="BB7" s="319"/>
      <c r="BC7" s="314"/>
      <c r="BD7" s="314"/>
      <c r="BE7" s="314"/>
      <c r="BF7" s="314"/>
      <c r="BG7" s="314"/>
      <c r="BH7" s="314"/>
      <c r="BI7" s="314"/>
      <c r="BJ7" s="314"/>
      <c r="BK7" s="314"/>
      <c r="BL7" s="319"/>
      <c r="BM7" s="314"/>
      <c r="BN7" s="314"/>
      <c r="BO7" s="314"/>
      <c r="BP7" s="314"/>
      <c r="BQ7" s="314"/>
      <c r="BR7" s="314"/>
      <c r="BS7" s="336"/>
      <c r="BT7" s="314"/>
      <c r="BU7" s="336"/>
      <c r="BV7" s="314"/>
      <c r="BW7" s="314"/>
      <c r="BX7" s="314"/>
      <c r="BY7" s="314"/>
      <c r="BZ7" s="314"/>
      <c r="CA7" s="314">
        <v>1935</v>
      </c>
      <c r="CB7" s="314">
        <v>1967</v>
      </c>
      <c r="CC7" s="314">
        <f>CB7-CA7</f>
        <v>32</v>
      </c>
      <c r="CD7" s="314">
        <v>3800</v>
      </c>
      <c r="CE7" s="314">
        <f>CC7*CD7</f>
        <v>121600</v>
      </c>
      <c r="CF7" s="314"/>
      <c r="CG7" s="314">
        <f>CE7/3</f>
        <v>40533.333333333336</v>
      </c>
    </row>
    <row r="8" spans="1:85" ht="18" customHeight="1">
      <c r="A8" s="328" t="s">
        <v>40</v>
      </c>
      <c r="B8" s="328" t="s">
        <v>144</v>
      </c>
      <c r="C8" s="314">
        <v>203</v>
      </c>
      <c r="D8" s="314" t="s">
        <v>238</v>
      </c>
      <c r="E8" s="314">
        <v>1</v>
      </c>
      <c r="F8" s="319">
        <v>3800000</v>
      </c>
      <c r="G8" s="330">
        <v>4300000</v>
      </c>
      <c r="H8" s="319">
        <v>3800000</v>
      </c>
      <c r="I8" s="319">
        <v>3800000</v>
      </c>
      <c r="J8" s="319"/>
      <c r="K8" s="314">
        <v>30</v>
      </c>
      <c r="L8" s="314">
        <v>30</v>
      </c>
      <c r="M8" s="331"/>
      <c r="N8" s="319"/>
      <c r="O8" s="328">
        <v>1</v>
      </c>
      <c r="P8" s="314">
        <v>138</v>
      </c>
      <c r="Q8" s="314">
        <v>218</v>
      </c>
      <c r="R8" s="314">
        <f t="shared" si="6"/>
        <v>80</v>
      </c>
      <c r="S8" s="319">
        <v>4000</v>
      </c>
      <c r="T8" s="319">
        <f t="shared" si="1"/>
        <v>320000</v>
      </c>
      <c r="U8" s="314"/>
      <c r="V8" s="314"/>
      <c r="W8" s="332">
        <v>1</v>
      </c>
      <c r="X8" s="314">
        <v>120000</v>
      </c>
      <c r="Y8" s="314">
        <f t="shared" si="7"/>
        <v>120000</v>
      </c>
      <c r="Z8" s="328"/>
      <c r="AA8" s="314"/>
      <c r="AB8" s="314"/>
      <c r="AC8" s="314"/>
      <c r="AD8" s="314">
        <v>100000</v>
      </c>
      <c r="AE8" s="314">
        <f t="shared" si="8"/>
        <v>0</v>
      </c>
      <c r="AF8" s="314"/>
      <c r="AG8" s="314">
        <v>60000</v>
      </c>
      <c r="AH8" s="314">
        <f t="shared" si="9"/>
        <v>0</v>
      </c>
      <c r="AI8" s="314"/>
      <c r="AJ8" s="314"/>
      <c r="AK8" s="314"/>
      <c r="AL8" s="328"/>
      <c r="AM8" s="314"/>
      <c r="AN8" s="333"/>
      <c r="AO8" s="314">
        <v>1</v>
      </c>
      <c r="AP8" s="314">
        <v>120000</v>
      </c>
      <c r="AQ8" s="319">
        <f t="shared" si="10"/>
        <v>120000</v>
      </c>
      <c r="AR8" s="317"/>
      <c r="AS8" s="317"/>
      <c r="AT8" s="313">
        <f t="shared" si="11"/>
        <v>0</v>
      </c>
      <c r="AU8" s="321">
        <f t="shared" si="2"/>
        <v>560000</v>
      </c>
      <c r="AV8" s="322">
        <f t="shared" si="3"/>
        <v>4360000</v>
      </c>
      <c r="AW8" s="314"/>
      <c r="AX8" s="334">
        <v>4360000</v>
      </c>
      <c r="AY8" s="324" t="str">
        <f t="shared" si="4"/>
        <v>Đủ</v>
      </c>
      <c r="AZ8" s="325">
        <f t="shared" si="5"/>
        <v>0</v>
      </c>
      <c r="BA8" s="335"/>
      <c r="BB8" s="319"/>
      <c r="BC8" s="314"/>
      <c r="BD8" s="314"/>
      <c r="BE8" s="314"/>
      <c r="BF8" s="314"/>
      <c r="BG8" s="314"/>
      <c r="BH8" s="314"/>
      <c r="BI8" s="314"/>
      <c r="BJ8" s="314"/>
      <c r="BK8" s="314"/>
      <c r="BL8" s="319"/>
      <c r="BM8" s="314"/>
      <c r="BN8" s="314"/>
      <c r="BO8" s="314"/>
      <c r="BP8" s="314"/>
      <c r="BQ8" s="314"/>
      <c r="BR8" s="314"/>
      <c r="BS8" s="336"/>
      <c r="BT8" s="314"/>
      <c r="BU8" s="336"/>
      <c r="BV8" s="314"/>
      <c r="BW8" s="314"/>
      <c r="BX8" s="314"/>
      <c r="BY8" s="314"/>
      <c r="BZ8" s="314"/>
      <c r="CA8" s="314">
        <v>144</v>
      </c>
      <c r="CB8" s="314">
        <v>209</v>
      </c>
      <c r="CC8" s="314">
        <f>CB8-CA8</f>
        <v>65</v>
      </c>
      <c r="CD8" s="314">
        <v>3800</v>
      </c>
      <c r="CE8" s="314">
        <f>CC8*CD8</f>
        <v>247000</v>
      </c>
      <c r="CF8" s="314"/>
      <c r="CG8" s="314">
        <f>CE8/3</f>
        <v>82333.333333333328</v>
      </c>
    </row>
    <row r="9" spans="1:85" ht="17.25" customHeight="1">
      <c r="A9" s="328" t="s">
        <v>41</v>
      </c>
      <c r="B9" s="328" t="s">
        <v>144</v>
      </c>
      <c r="C9" s="314">
        <v>301</v>
      </c>
      <c r="D9" s="314" t="s">
        <v>238</v>
      </c>
      <c r="E9" s="314">
        <v>1</v>
      </c>
      <c r="F9" s="319">
        <v>3900000</v>
      </c>
      <c r="G9" s="330">
        <v>4200000</v>
      </c>
      <c r="H9" s="319">
        <v>3900000</v>
      </c>
      <c r="I9" s="319">
        <v>3900000</v>
      </c>
      <c r="J9" s="319"/>
      <c r="K9" s="314">
        <v>30</v>
      </c>
      <c r="L9" s="314">
        <v>30</v>
      </c>
      <c r="M9" s="331"/>
      <c r="N9" s="319"/>
      <c r="O9" s="328">
        <v>1</v>
      </c>
      <c r="P9" s="314">
        <v>343</v>
      </c>
      <c r="Q9" s="314">
        <v>372</v>
      </c>
      <c r="R9" s="314">
        <f t="shared" si="6"/>
        <v>29</v>
      </c>
      <c r="S9" s="319">
        <v>4000</v>
      </c>
      <c r="T9" s="319">
        <f t="shared" si="1"/>
        <v>116000</v>
      </c>
      <c r="U9" s="314"/>
      <c r="V9" s="314"/>
      <c r="W9" s="332">
        <v>1</v>
      </c>
      <c r="X9" s="314">
        <v>120000</v>
      </c>
      <c r="Y9" s="314">
        <f t="shared" si="7"/>
        <v>120000</v>
      </c>
      <c r="Z9" s="328"/>
      <c r="AA9" s="314"/>
      <c r="AB9" s="314"/>
      <c r="AC9" s="314">
        <v>1</v>
      </c>
      <c r="AD9" s="314">
        <v>100000</v>
      </c>
      <c r="AE9" s="314">
        <f t="shared" si="8"/>
        <v>100000</v>
      </c>
      <c r="AF9" s="314">
        <v>1</v>
      </c>
      <c r="AG9" s="314">
        <v>60000</v>
      </c>
      <c r="AH9" s="314">
        <f t="shared" si="9"/>
        <v>60000</v>
      </c>
      <c r="AI9" s="314">
        <v>1</v>
      </c>
      <c r="AJ9" s="314">
        <v>150000</v>
      </c>
      <c r="AK9" s="314">
        <f>AI9*AJ9</f>
        <v>150000</v>
      </c>
      <c r="AL9" s="328"/>
      <c r="AM9" s="314"/>
      <c r="AN9" s="333"/>
      <c r="AO9" s="314">
        <v>1</v>
      </c>
      <c r="AP9" s="314">
        <v>120000</v>
      </c>
      <c r="AQ9" s="319">
        <f t="shared" si="10"/>
        <v>120000</v>
      </c>
      <c r="AR9" s="317"/>
      <c r="AS9" s="317"/>
      <c r="AT9" s="313">
        <f t="shared" si="11"/>
        <v>0</v>
      </c>
      <c r="AU9" s="321">
        <f t="shared" si="2"/>
        <v>666000</v>
      </c>
      <c r="AV9" s="322">
        <f t="shared" si="3"/>
        <v>4566000</v>
      </c>
      <c r="AW9" s="314"/>
      <c r="AX9" s="334">
        <v>4566000</v>
      </c>
      <c r="AY9" s="324" t="str">
        <f t="shared" si="4"/>
        <v>Đủ</v>
      </c>
      <c r="AZ9" s="325">
        <f t="shared" si="5"/>
        <v>0</v>
      </c>
      <c r="BA9" s="335"/>
      <c r="BB9" s="319"/>
      <c r="BC9" s="314"/>
      <c r="BD9" s="314"/>
      <c r="BE9" s="314"/>
      <c r="BF9" s="314"/>
      <c r="BG9" s="314"/>
      <c r="BH9" s="314"/>
      <c r="BI9" s="314"/>
      <c r="BJ9" s="314"/>
      <c r="BK9" s="314"/>
      <c r="BL9" s="319"/>
      <c r="BM9" s="314"/>
      <c r="BN9" s="314"/>
      <c r="BO9" s="314"/>
      <c r="BP9" s="314"/>
      <c r="BQ9" s="314"/>
      <c r="BR9" s="314"/>
      <c r="BS9" s="336"/>
      <c r="BT9" s="314"/>
      <c r="BU9" s="336"/>
      <c r="BV9" s="314"/>
      <c r="BW9" s="314"/>
      <c r="BX9" s="314"/>
      <c r="BY9" s="314"/>
      <c r="BZ9" s="314"/>
      <c r="CA9" s="314">
        <v>144</v>
      </c>
      <c r="CB9" s="314">
        <v>209</v>
      </c>
      <c r="CC9" s="314">
        <f>CB9-CA9</f>
        <v>65</v>
      </c>
      <c r="CD9" s="314">
        <v>3800</v>
      </c>
      <c r="CE9" s="314">
        <f>CC9*CD9</f>
        <v>247000</v>
      </c>
      <c r="CF9" s="314"/>
      <c r="CG9" s="314">
        <f>CE9/3</f>
        <v>82333.333333333328</v>
      </c>
    </row>
    <row r="10" spans="1:85" ht="15.75" customHeight="1">
      <c r="A10" s="328" t="s">
        <v>42</v>
      </c>
      <c r="B10" s="328" t="s">
        <v>144</v>
      </c>
      <c r="C10" s="314">
        <v>302</v>
      </c>
      <c r="D10" s="314" t="s">
        <v>238</v>
      </c>
      <c r="E10" s="314">
        <v>1</v>
      </c>
      <c r="F10" s="329">
        <v>3800000</v>
      </c>
      <c r="G10" s="330">
        <v>4000000</v>
      </c>
      <c r="H10" s="329">
        <v>3800000</v>
      </c>
      <c r="I10" s="329">
        <v>3800000</v>
      </c>
      <c r="J10" s="337"/>
      <c r="K10" s="314">
        <v>30</v>
      </c>
      <c r="L10" s="314">
        <v>30</v>
      </c>
      <c r="M10" s="331"/>
      <c r="N10" s="319"/>
      <c r="O10" s="328">
        <v>2</v>
      </c>
      <c r="P10" s="314">
        <v>351</v>
      </c>
      <c r="Q10" s="314">
        <v>549</v>
      </c>
      <c r="R10" s="314">
        <f t="shared" si="6"/>
        <v>198</v>
      </c>
      <c r="S10" s="319">
        <v>4000</v>
      </c>
      <c r="T10" s="319">
        <f t="shared" si="1"/>
        <v>792000</v>
      </c>
      <c r="U10" s="314"/>
      <c r="V10" s="314"/>
      <c r="W10" s="332">
        <v>2</v>
      </c>
      <c r="X10" s="314">
        <v>120000</v>
      </c>
      <c r="Y10" s="314">
        <f t="shared" si="7"/>
        <v>240000</v>
      </c>
      <c r="Z10" s="328"/>
      <c r="AA10" s="314"/>
      <c r="AB10" s="314"/>
      <c r="AC10" s="314">
        <v>1</v>
      </c>
      <c r="AD10" s="314">
        <v>100000</v>
      </c>
      <c r="AE10" s="314">
        <f t="shared" si="8"/>
        <v>100000</v>
      </c>
      <c r="AF10" s="314">
        <v>2</v>
      </c>
      <c r="AG10" s="314">
        <v>60000</v>
      </c>
      <c r="AH10" s="314">
        <f t="shared" si="9"/>
        <v>120000</v>
      </c>
      <c r="AI10" s="314">
        <v>1</v>
      </c>
      <c r="AJ10" s="314">
        <v>150000</v>
      </c>
      <c r="AK10" s="314">
        <f>AI10*AJ10</f>
        <v>150000</v>
      </c>
      <c r="AL10" s="328"/>
      <c r="AM10" s="314"/>
      <c r="AN10" s="333"/>
      <c r="AO10" s="314">
        <v>2</v>
      </c>
      <c r="AP10" s="314">
        <v>120000</v>
      </c>
      <c r="AQ10" s="319">
        <f t="shared" si="10"/>
        <v>240000</v>
      </c>
      <c r="AR10" s="317"/>
      <c r="AS10" s="317"/>
      <c r="AT10" s="313">
        <f t="shared" si="11"/>
        <v>0</v>
      </c>
      <c r="AU10" s="321">
        <f t="shared" si="2"/>
        <v>1642000</v>
      </c>
      <c r="AV10" s="322">
        <f t="shared" si="3"/>
        <v>5442000</v>
      </c>
      <c r="AW10" s="314"/>
      <c r="AX10" s="334">
        <v>5442000</v>
      </c>
      <c r="AY10" s="324" t="str">
        <f t="shared" si="4"/>
        <v>Đủ</v>
      </c>
      <c r="AZ10" s="325">
        <f t="shared" si="5"/>
        <v>0</v>
      </c>
      <c r="BA10" s="335"/>
      <c r="BB10" s="319"/>
      <c r="BC10" s="314"/>
      <c r="BD10" s="314"/>
      <c r="BE10" s="314"/>
      <c r="BF10" s="314"/>
      <c r="BG10" s="314"/>
      <c r="BH10" s="314"/>
      <c r="BI10" s="314"/>
      <c r="BJ10" s="314"/>
      <c r="BK10" s="314"/>
      <c r="BL10" s="319"/>
      <c r="BM10" s="314"/>
      <c r="BN10" s="314"/>
      <c r="BO10" s="314"/>
      <c r="BP10" s="314"/>
      <c r="BQ10" s="314"/>
      <c r="BR10" s="314"/>
      <c r="BS10" s="336"/>
      <c r="BT10" s="314"/>
      <c r="BU10" s="336"/>
      <c r="BV10" s="314"/>
      <c r="BW10" s="314"/>
      <c r="BX10" s="314"/>
      <c r="BY10" s="314"/>
      <c r="BZ10" s="314"/>
      <c r="CA10" s="314">
        <v>144</v>
      </c>
      <c r="CB10" s="314">
        <v>209</v>
      </c>
      <c r="CC10" s="314">
        <f>CB10-CA10</f>
        <v>65</v>
      </c>
      <c r="CD10" s="314">
        <v>3800</v>
      </c>
      <c r="CE10" s="314">
        <f>CC10*CD10</f>
        <v>247000</v>
      </c>
      <c r="CF10" s="314"/>
      <c r="CG10" s="314">
        <f>CE10/3</f>
        <v>82333.333333333328</v>
      </c>
    </row>
    <row r="11" spans="1:85" ht="19.5" customHeight="1">
      <c r="A11" s="328" t="s">
        <v>43</v>
      </c>
      <c r="B11" s="328" t="s">
        <v>144</v>
      </c>
      <c r="C11" s="314">
        <v>303</v>
      </c>
      <c r="D11" s="314" t="s">
        <v>238</v>
      </c>
      <c r="E11" s="314">
        <v>1</v>
      </c>
      <c r="F11" s="329">
        <v>4000000</v>
      </c>
      <c r="G11" s="330">
        <v>4300000</v>
      </c>
      <c r="H11" s="329">
        <v>4000000</v>
      </c>
      <c r="I11" s="329">
        <v>4000000</v>
      </c>
      <c r="J11" s="337"/>
      <c r="K11" s="314">
        <v>30</v>
      </c>
      <c r="L11" s="314">
        <v>30</v>
      </c>
      <c r="M11" s="331"/>
      <c r="N11" s="319"/>
      <c r="O11" s="332">
        <v>3</v>
      </c>
      <c r="P11" s="314">
        <v>856</v>
      </c>
      <c r="Q11" s="314">
        <v>1086</v>
      </c>
      <c r="R11" s="314">
        <f t="shared" si="6"/>
        <v>230</v>
      </c>
      <c r="S11" s="319">
        <v>4000</v>
      </c>
      <c r="T11" s="319">
        <f t="shared" si="1"/>
        <v>920000</v>
      </c>
      <c r="U11" s="314"/>
      <c r="V11" s="314"/>
      <c r="W11" s="332">
        <v>3</v>
      </c>
      <c r="X11" s="314">
        <v>120000</v>
      </c>
      <c r="Y11" s="314">
        <f t="shared" si="7"/>
        <v>360000</v>
      </c>
      <c r="Z11" s="332"/>
      <c r="AA11" s="314"/>
      <c r="AB11" s="314">
        <f>Z11*AA11</f>
        <v>0</v>
      </c>
      <c r="AC11" s="328"/>
      <c r="AD11" s="314">
        <v>100000</v>
      </c>
      <c r="AE11" s="314">
        <f t="shared" si="8"/>
        <v>0</v>
      </c>
      <c r="AF11" s="314">
        <v>3</v>
      </c>
      <c r="AG11" s="314">
        <v>60000</v>
      </c>
      <c r="AH11" s="314">
        <f t="shared" si="9"/>
        <v>180000</v>
      </c>
      <c r="AI11" s="314"/>
      <c r="AJ11" s="314"/>
      <c r="AK11" s="314"/>
      <c r="AL11" s="332"/>
      <c r="AM11" s="314"/>
      <c r="AN11" s="333"/>
      <c r="AO11" s="314">
        <v>3</v>
      </c>
      <c r="AP11" s="314">
        <v>120000</v>
      </c>
      <c r="AQ11" s="314">
        <f t="shared" si="10"/>
        <v>360000</v>
      </c>
      <c r="AR11" s="313"/>
      <c r="AS11" s="313"/>
      <c r="AT11" s="313">
        <f t="shared" si="11"/>
        <v>0</v>
      </c>
      <c r="AU11" s="321">
        <f t="shared" si="2"/>
        <v>1820000</v>
      </c>
      <c r="AV11" s="322">
        <f t="shared" si="3"/>
        <v>5820000</v>
      </c>
      <c r="AW11" s="314"/>
      <c r="AX11" s="334">
        <v>5820000</v>
      </c>
      <c r="AY11" s="324" t="str">
        <f t="shared" si="4"/>
        <v>Đủ</v>
      </c>
      <c r="AZ11" s="325">
        <f t="shared" si="5"/>
        <v>0</v>
      </c>
      <c r="BA11" s="335"/>
      <c r="BB11" s="319"/>
      <c r="BC11" s="314"/>
      <c r="BD11" s="314"/>
      <c r="BE11" s="314"/>
      <c r="BF11" s="314"/>
      <c r="BG11" s="314"/>
      <c r="BH11" s="314"/>
      <c r="BI11" s="314"/>
      <c r="BJ11" s="314"/>
      <c r="BK11" s="314"/>
      <c r="BL11" s="319"/>
      <c r="BM11" s="314"/>
      <c r="BN11" s="314"/>
      <c r="BO11" s="314"/>
      <c r="BP11" s="314"/>
      <c r="BQ11" s="314"/>
      <c r="BR11" s="314"/>
      <c r="BS11" s="336"/>
      <c r="BT11" s="314"/>
      <c r="BU11" s="336"/>
      <c r="BV11" s="314"/>
      <c r="BW11" s="314"/>
      <c r="BX11" s="314"/>
      <c r="BY11" s="314"/>
      <c r="BZ11" s="314"/>
      <c r="CA11" s="314"/>
      <c r="CB11" s="314"/>
      <c r="CC11" s="314"/>
      <c r="CD11" s="314"/>
      <c r="CE11" s="314"/>
      <c r="CF11" s="314"/>
      <c r="CG11" s="314"/>
    </row>
    <row r="12" spans="1:85" ht="21.75" customHeight="1">
      <c r="A12" s="328" t="s">
        <v>44</v>
      </c>
      <c r="B12" s="328" t="s">
        <v>144</v>
      </c>
      <c r="C12" s="314">
        <v>304</v>
      </c>
      <c r="D12" s="314" t="s">
        <v>238</v>
      </c>
      <c r="E12" s="314">
        <v>1</v>
      </c>
      <c r="F12" s="329">
        <v>4100000</v>
      </c>
      <c r="G12" s="330">
        <v>4400000</v>
      </c>
      <c r="H12" s="329">
        <v>4100000</v>
      </c>
      <c r="I12" s="329">
        <v>4100000</v>
      </c>
      <c r="J12" s="337"/>
      <c r="K12" s="338">
        <v>30</v>
      </c>
      <c r="L12" s="314">
        <v>30</v>
      </c>
      <c r="M12" s="331"/>
      <c r="N12" s="319"/>
      <c r="O12" s="339">
        <v>2</v>
      </c>
      <c r="P12" s="314">
        <v>458</v>
      </c>
      <c r="Q12" s="314">
        <v>726</v>
      </c>
      <c r="R12" s="314">
        <f t="shared" si="6"/>
        <v>268</v>
      </c>
      <c r="S12" s="319">
        <v>4000</v>
      </c>
      <c r="T12" s="319">
        <f t="shared" si="1"/>
        <v>1072000</v>
      </c>
      <c r="U12" s="314"/>
      <c r="V12" s="314"/>
      <c r="W12" s="332">
        <v>2</v>
      </c>
      <c r="X12" s="314">
        <v>120000</v>
      </c>
      <c r="Y12" s="314">
        <f t="shared" si="7"/>
        <v>240000</v>
      </c>
      <c r="Z12" s="339"/>
      <c r="AA12" s="314"/>
      <c r="AB12" s="314">
        <f>Z12*AA12</f>
        <v>0</v>
      </c>
      <c r="AC12" s="328">
        <v>1</v>
      </c>
      <c r="AD12" s="314">
        <v>100000</v>
      </c>
      <c r="AE12" s="314">
        <f t="shared" si="8"/>
        <v>100000</v>
      </c>
      <c r="AF12" s="314">
        <v>2</v>
      </c>
      <c r="AG12" s="314">
        <v>60000</v>
      </c>
      <c r="AH12" s="314">
        <f t="shared" si="9"/>
        <v>120000</v>
      </c>
      <c r="AI12" s="314"/>
      <c r="AJ12" s="314"/>
      <c r="AK12" s="314"/>
      <c r="AL12" s="339"/>
      <c r="AM12" s="314"/>
      <c r="AN12" s="333"/>
      <c r="AO12" s="314">
        <v>2</v>
      </c>
      <c r="AP12" s="314">
        <v>120000</v>
      </c>
      <c r="AQ12" s="314">
        <f t="shared" si="10"/>
        <v>240000</v>
      </c>
      <c r="AR12" s="313"/>
      <c r="AS12" s="313"/>
      <c r="AT12" s="313">
        <f t="shared" si="11"/>
        <v>0</v>
      </c>
      <c r="AU12" s="321">
        <f t="shared" si="2"/>
        <v>1772000</v>
      </c>
      <c r="AV12" s="322">
        <f t="shared" si="3"/>
        <v>5872000</v>
      </c>
      <c r="AW12" s="314"/>
      <c r="AX12" s="334">
        <v>5872000</v>
      </c>
      <c r="AY12" s="324" t="str">
        <f t="shared" si="4"/>
        <v>Đủ</v>
      </c>
      <c r="AZ12" s="325">
        <f t="shared" si="5"/>
        <v>0</v>
      </c>
      <c r="BA12" s="335"/>
      <c r="BB12" s="319"/>
      <c r="BC12" s="314"/>
      <c r="BD12" s="314"/>
      <c r="BE12" s="314"/>
      <c r="BF12" s="314"/>
      <c r="BG12" s="314"/>
      <c r="BH12" s="314"/>
      <c r="BI12" s="314"/>
      <c r="BJ12" s="314"/>
      <c r="BK12" s="314"/>
      <c r="BL12" s="319"/>
      <c r="BM12" s="314"/>
      <c r="BN12" s="314"/>
      <c r="BO12" s="314"/>
      <c r="BP12" s="314"/>
      <c r="BQ12" s="314"/>
      <c r="BR12" s="314"/>
      <c r="BS12" s="336"/>
      <c r="BT12" s="314"/>
      <c r="BU12" s="336"/>
      <c r="BV12" s="314"/>
      <c r="BW12" s="314"/>
      <c r="BX12" s="314"/>
      <c r="BY12" s="314"/>
      <c r="BZ12" s="314"/>
      <c r="CA12" s="314"/>
      <c r="CB12" s="314"/>
      <c r="CC12" s="314"/>
      <c r="CD12" s="314"/>
      <c r="CE12" s="314"/>
      <c r="CF12" s="314"/>
      <c r="CG12" s="314"/>
    </row>
    <row r="13" spans="1:85" ht="21.75" customHeight="1">
      <c r="A13" s="328" t="s">
        <v>45</v>
      </c>
      <c r="B13" s="328" t="s">
        <v>144</v>
      </c>
      <c r="C13" s="314">
        <v>401</v>
      </c>
      <c r="D13" s="314" t="s">
        <v>238</v>
      </c>
      <c r="E13" s="314">
        <v>1</v>
      </c>
      <c r="F13" s="330">
        <v>3800000</v>
      </c>
      <c r="G13" s="330">
        <f>4200000</f>
        <v>4200000</v>
      </c>
      <c r="H13" s="330">
        <v>3800000</v>
      </c>
      <c r="I13" s="330">
        <v>3800000</v>
      </c>
      <c r="J13" s="338"/>
      <c r="K13" s="338">
        <v>30</v>
      </c>
      <c r="L13" s="314">
        <v>30</v>
      </c>
      <c r="M13" s="331"/>
      <c r="N13" s="338"/>
      <c r="O13" s="339">
        <v>1</v>
      </c>
      <c r="P13" s="314">
        <v>1401</v>
      </c>
      <c r="Q13" s="314">
        <v>1401</v>
      </c>
      <c r="R13" s="314">
        <f t="shared" si="6"/>
        <v>0</v>
      </c>
      <c r="S13" s="319">
        <v>4000</v>
      </c>
      <c r="T13" s="319">
        <f t="shared" si="1"/>
        <v>0</v>
      </c>
      <c r="U13" s="314"/>
      <c r="V13" s="314"/>
      <c r="W13" s="332">
        <v>1</v>
      </c>
      <c r="X13" s="314">
        <v>120000</v>
      </c>
      <c r="Y13" s="314">
        <f t="shared" si="7"/>
        <v>120000</v>
      </c>
      <c r="Z13" s="339"/>
      <c r="AA13" s="314"/>
      <c r="AB13" s="314"/>
      <c r="AC13" s="328">
        <v>1</v>
      </c>
      <c r="AD13" s="314">
        <v>100000</v>
      </c>
      <c r="AE13" s="314">
        <f t="shared" si="8"/>
        <v>100000</v>
      </c>
      <c r="AF13" s="314">
        <v>1</v>
      </c>
      <c r="AG13" s="314">
        <v>60000</v>
      </c>
      <c r="AH13" s="314">
        <f t="shared" si="9"/>
        <v>60000</v>
      </c>
      <c r="AI13" s="314"/>
      <c r="AJ13" s="314"/>
      <c r="AK13" s="314"/>
      <c r="AL13" s="339"/>
      <c r="AM13" s="314"/>
      <c r="AN13" s="333"/>
      <c r="AO13" s="314">
        <v>1</v>
      </c>
      <c r="AP13" s="314">
        <v>120000</v>
      </c>
      <c r="AQ13" s="314">
        <f t="shared" si="10"/>
        <v>120000</v>
      </c>
      <c r="AR13" s="313"/>
      <c r="AS13" s="313"/>
      <c r="AT13" s="313">
        <f t="shared" si="11"/>
        <v>0</v>
      </c>
      <c r="AU13" s="321">
        <f t="shared" si="2"/>
        <v>400000</v>
      </c>
      <c r="AV13" s="322">
        <f t="shared" si="3"/>
        <v>4200000</v>
      </c>
      <c r="AW13" s="314"/>
      <c r="AX13" s="334">
        <f>5040000-840000</f>
        <v>4200000</v>
      </c>
      <c r="AY13" s="324" t="str">
        <f t="shared" si="4"/>
        <v>Đủ</v>
      </c>
      <c r="AZ13" s="325">
        <f t="shared" si="5"/>
        <v>0</v>
      </c>
      <c r="BA13" s="335"/>
      <c r="BB13" s="319"/>
      <c r="BC13" s="314"/>
      <c r="BD13" s="314"/>
      <c r="BE13" s="314"/>
      <c r="BF13" s="314"/>
      <c r="BG13" s="314"/>
      <c r="BH13" s="314"/>
      <c r="BI13" s="314"/>
      <c r="BJ13" s="314"/>
      <c r="BK13" s="314"/>
      <c r="BL13" s="319"/>
      <c r="BM13" s="314"/>
      <c r="BN13" s="314"/>
      <c r="BO13" s="314"/>
      <c r="BP13" s="314"/>
      <c r="BQ13" s="314"/>
      <c r="BR13" s="314"/>
      <c r="BS13" s="336"/>
      <c r="BT13" s="314"/>
      <c r="BU13" s="336"/>
      <c r="BV13" s="314"/>
      <c r="BW13" s="314"/>
      <c r="BX13" s="314"/>
      <c r="BY13" s="314"/>
      <c r="BZ13" s="314"/>
      <c r="CA13" s="314"/>
      <c r="CB13" s="314"/>
      <c r="CC13" s="314"/>
      <c r="CD13" s="314"/>
      <c r="CE13" s="314"/>
      <c r="CF13" s="314"/>
      <c r="CG13" s="314"/>
    </row>
    <row r="14" spans="1:85" ht="21.75" customHeight="1">
      <c r="A14" s="328" t="s">
        <v>46</v>
      </c>
      <c r="B14" s="328" t="s">
        <v>144</v>
      </c>
      <c r="C14" s="314">
        <v>402</v>
      </c>
      <c r="D14" s="314" t="s">
        <v>238</v>
      </c>
      <c r="E14" s="314">
        <v>1</v>
      </c>
      <c r="F14" s="330">
        <v>3900000</v>
      </c>
      <c r="G14" s="330">
        <v>4000000</v>
      </c>
      <c r="H14" s="330">
        <v>3900000</v>
      </c>
      <c r="I14" s="330">
        <v>3900000</v>
      </c>
      <c r="J14" s="338"/>
      <c r="K14" s="314">
        <v>30</v>
      </c>
      <c r="L14" s="314">
        <v>30</v>
      </c>
      <c r="M14" s="331"/>
      <c r="N14" s="319"/>
      <c r="O14" s="339">
        <v>1</v>
      </c>
      <c r="P14" s="314">
        <v>1021</v>
      </c>
      <c r="Q14" s="314">
        <v>1021</v>
      </c>
      <c r="R14" s="314">
        <f t="shared" si="6"/>
        <v>0</v>
      </c>
      <c r="S14" s="319">
        <v>4000</v>
      </c>
      <c r="T14" s="319">
        <f t="shared" si="1"/>
        <v>0</v>
      </c>
      <c r="U14" s="314"/>
      <c r="V14" s="314"/>
      <c r="W14" s="332">
        <v>1</v>
      </c>
      <c r="X14" s="314">
        <v>120000</v>
      </c>
      <c r="Y14" s="314">
        <f t="shared" si="7"/>
        <v>120000</v>
      </c>
      <c r="Z14" s="339"/>
      <c r="AA14" s="314"/>
      <c r="AB14" s="314"/>
      <c r="AC14" s="328">
        <v>1</v>
      </c>
      <c r="AD14" s="314">
        <v>100000</v>
      </c>
      <c r="AE14" s="314">
        <f t="shared" si="8"/>
        <v>100000</v>
      </c>
      <c r="AF14" s="314">
        <v>1</v>
      </c>
      <c r="AG14" s="314">
        <v>60000</v>
      </c>
      <c r="AH14" s="314">
        <f t="shared" si="9"/>
        <v>60000</v>
      </c>
      <c r="AI14" s="314"/>
      <c r="AJ14" s="314"/>
      <c r="AK14" s="314">
        <f>AI14*AJ14</f>
        <v>0</v>
      </c>
      <c r="AL14" s="339"/>
      <c r="AM14" s="314"/>
      <c r="AN14" s="333"/>
      <c r="AO14" s="314">
        <v>1</v>
      </c>
      <c r="AP14" s="314">
        <v>120000</v>
      </c>
      <c r="AQ14" s="314">
        <f t="shared" si="10"/>
        <v>120000</v>
      </c>
      <c r="AR14" s="313"/>
      <c r="AS14" s="313"/>
      <c r="AT14" s="313">
        <f t="shared" si="11"/>
        <v>0</v>
      </c>
      <c r="AU14" s="321">
        <f t="shared" si="2"/>
        <v>400000</v>
      </c>
      <c r="AV14" s="322">
        <f t="shared" si="3"/>
        <v>4300000</v>
      </c>
      <c r="AW14" s="314"/>
      <c r="AX14" s="334">
        <v>4300000</v>
      </c>
      <c r="AY14" s="324" t="str">
        <f t="shared" si="4"/>
        <v>Đủ</v>
      </c>
      <c r="AZ14" s="325">
        <f t="shared" si="5"/>
        <v>0</v>
      </c>
      <c r="BA14" s="335"/>
      <c r="BB14" s="319"/>
      <c r="BC14" s="314"/>
      <c r="BD14" s="314"/>
      <c r="BE14" s="314"/>
      <c r="BF14" s="314"/>
      <c r="BG14" s="314"/>
      <c r="BH14" s="314"/>
      <c r="BI14" s="314"/>
      <c r="BJ14" s="314"/>
      <c r="BK14" s="314"/>
      <c r="BL14" s="319"/>
      <c r="BM14" s="314"/>
      <c r="BN14" s="314"/>
      <c r="BO14" s="314"/>
      <c r="BP14" s="314"/>
      <c r="BQ14" s="314"/>
      <c r="BR14" s="314"/>
      <c r="BS14" s="336"/>
      <c r="BT14" s="314"/>
      <c r="BU14" s="336"/>
      <c r="BV14" s="314"/>
      <c r="BW14" s="314"/>
      <c r="BX14" s="314"/>
      <c r="BY14" s="314"/>
      <c r="BZ14" s="314"/>
      <c r="CA14" s="314"/>
      <c r="CB14" s="314"/>
      <c r="CC14" s="314"/>
      <c r="CD14" s="314"/>
      <c r="CE14" s="314"/>
      <c r="CF14" s="314"/>
      <c r="CG14" s="314"/>
    </row>
    <row r="15" spans="1:85" ht="20.25" customHeight="1">
      <c r="A15" s="328" t="s">
        <v>47</v>
      </c>
      <c r="B15" s="328" t="s">
        <v>144</v>
      </c>
      <c r="C15" s="314">
        <v>403</v>
      </c>
      <c r="D15" s="314" t="s">
        <v>238</v>
      </c>
      <c r="E15" s="314">
        <v>1</v>
      </c>
      <c r="F15" s="330">
        <v>4200000</v>
      </c>
      <c r="G15" s="330">
        <f>4300000</f>
        <v>4300000</v>
      </c>
      <c r="H15" s="330">
        <v>4200000</v>
      </c>
      <c r="I15" s="330">
        <v>4200000</v>
      </c>
      <c r="J15" s="338"/>
      <c r="K15" s="314">
        <v>30</v>
      </c>
      <c r="L15" s="314">
        <v>30</v>
      </c>
      <c r="M15" s="331"/>
      <c r="N15" s="319"/>
      <c r="O15" s="339">
        <v>2</v>
      </c>
      <c r="P15" s="314">
        <v>693</v>
      </c>
      <c r="Q15" s="314">
        <v>1099</v>
      </c>
      <c r="R15" s="314">
        <f t="shared" si="6"/>
        <v>406</v>
      </c>
      <c r="S15" s="319">
        <v>4000</v>
      </c>
      <c r="T15" s="319">
        <f t="shared" si="1"/>
        <v>1624000</v>
      </c>
      <c r="U15" s="314"/>
      <c r="V15" s="314"/>
      <c r="W15" s="332">
        <v>2</v>
      </c>
      <c r="X15" s="314">
        <v>120000</v>
      </c>
      <c r="Y15" s="314">
        <f t="shared" si="7"/>
        <v>240000</v>
      </c>
      <c r="Z15" s="339"/>
      <c r="AA15" s="314"/>
      <c r="AB15" s="314"/>
      <c r="AC15" s="328"/>
      <c r="AD15" s="314">
        <v>100000</v>
      </c>
      <c r="AE15" s="314">
        <f t="shared" si="8"/>
        <v>0</v>
      </c>
      <c r="AF15" s="314">
        <v>2</v>
      </c>
      <c r="AG15" s="314">
        <v>60000</v>
      </c>
      <c r="AH15" s="314">
        <f t="shared" si="9"/>
        <v>120000</v>
      </c>
      <c r="AI15" s="314"/>
      <c r="AJ15" s="314"/>
      <c r="AK15" s="314"/>
      <c r="AL15" s="339"/>
      <c r="AM15" s="314"/>
      <c r="AN15" s="333"/>
      <c r="AO15" s="314">
        <v>2</v>
      </c>
      <c r="AP15" s="314">
        <v>120000</v>
      </c>
      <c r="AQ15" s="314">
        <f t="shared" si="10"/>
        <v>240000</v>
      </c>
      <c r="AR15" s="313"/>
      <c r="AS15" s="313"/>
      <c r="AT15" s="313">
        <f t="shared" si="11"/>
        <v>0</v>
      </c>
      <c r="AU15" s="321">
        <f t="shared" si="2"/>
        <v>2224000</v>
      </c>
      <c r="AV15" s="322">
        <f t="shared" si="3"/>
        <v>6424000</v>
      </c>
      <c r="AW15" s="314"/>
      <c r="AX15" s="334">
        <v>6424000</v>
      </c>
      <c r="AY15" s="324" t="str">
        <f t="shared" si="4"/>
        <v>Đủ</v>
      </c>
      <c r="AZ15" s="325">
        <f t="shared" si="5"/>
        <v>0</v>
      </c>
      <c r="BA15" s="335"/>
      <c r="BB15" s="319"/>
      <c r="BC15" s="314"/>
      <c r="BD15" s="314"/>
      <c r="BE15" s="314"/>
      <c r="BF15" s="314"/>
      <c r="BG15" s="314"/>
      <c r="BH15" s="314"/>
      <c r="BI15" s="314"/>
      <c r="BJ15" s="314"/>
      <c r="BK15" s="314"/>
      <c r="BL15" s="319"/>
      <c r="BM15" s="314"/>
      <c r="BN15" s="314"/>
      <c r="BO15" s="314"/>
      <c r="BP15" s="314"/>
      <c r="BQ15" s="314"/>
      <c r="BR15" s="314"/>
      <c r="BS15" s="336"/>
      <c r="BT15" s="314"/>
      <c r="BU15" s="336"/>
      <c r="BV15" s="314"/>
      <c r="BW15" s="314"/>
      <c r="BX15" s="314"/>
      <c r="BY15" s="314"/>
      <c r="BZ15" s="314"/>
      <c r="CA15" s="314"/>
      <c r="CB15" s="314"/>
      <c r="CC15" s="314"/>
      <c r="CD15" s="314"/>
      <c r="CE15" s="314"/>
      <c r="CF15" s="314"/>
      <c r="CG15" s="314"/>
    </row>
    <row r="16" spans="1:85" ht="21.75" customHeight="1">
      <c r="A16" s="328" t="s">
        <v>48</v>
      </c>
      <c r="B16" s="328" t="s">
        <v>144</v>
      </c>
      <c r="C16" s="314">
        <v>404</v>
      </c>
      <c r="D16" s="314" t="s">
        <v>238</v>
      </c>
      <c r="E16" s="314">
        <v>1</v>
      </c>
      <c r="F16" s="315">
        <v>4000000</v>
      </c>
      <c r="G16" s="330">
        <v>4400000</v>
      </c>
      <c r="H16" s="315">
        <v>4000000</v>
      </c>
      <c r="I16" s="315">
        <v>4000000</v>
      </c>
      <c r="J16" s="340"/>
      <c r="K16" s="314">
        <v>30</v>
      </c>
      <c r="L16" s="314">
        <v>30</v>
      </c>
      <c r="M16" s="331"/>
      <c r="N16" s="319"/>
      <c r="O16" s="339">
        <v>1</v>
      </c>
      <c r="P16" s="314">
        <v>511</v>
      </c>
      <c r="Q16" s="314">
        <v>653</v>
      </c>
      <c r="R16" s="314">
        <f t="shared" si="6"/>
        <v>142</v>
      </c>
      <c r="S16" s="319">
        <v>4000</v>
      </c>
      <c r="T16" s="319">
        <f t="shared" si="1"/>
        <v>568000</v>
      </c>
      <c r="U16" s="314"/>
      <c r="V16" s="314"/>
      <c r="W16" s="332">
        <v>1</v>
      </c>
      <c r="X16" s="314">
        <v>120000</v>
      </c>
      <c r="Y16" s="314">
        <f t="shared" si="7"/>
        <v>120000</v>
      </c>
      <c r="Z16" s="339"/>
      <c r="AA16" s="314"/>
      <c r="AB16" s="314"/>
      <c r="AC16" s="328"/>
      <c r="AD16" s="314">
        <v>100000</v>
      </c>
      <c r="AE16" s="314">
        <f t="shared" si="8"/>
        <v>0</v>
      </c>
      <c r="AF16" s="314">
        <v>1</v>
      </c>
      <c r="AG16" s="314">
        <v>60000</v>
      </c>
      <c r="AH16" s="314">
        <f t="shared" si="9"/>
        <v>60000</v>
      </c>
      <c r="AI16" s="314"/>
      <c r="AJ16" s="314"/>
      <c r="AK16" s="314"/>
      <c r="AL16" s="339"/>
      <c r="AM16" s="314"/>
      <c r="AN16" s="333"/>
      <c r="AO16" s="314">
        <v>1</v>
      </c>
      <c r="AP16" s="314">
        <v>120000</v>
      </c>
      <c r="AQ16" s="314">
        <f t="shared" si="10"/>
        <v>120000</v>
      </c>
      <c r="AR16" s="313"/>
      <c r="AS16" s="313"/>
      <c r="AT16" s="313">
        <f t="shared" si="11"/>
        <v>0</v>
      </c>
      <c r="AU16" s="321">
        <f t="shared" si="2"/>
        <v>868000</v>
      </c>
      <c r="AV16" s="322">
        <f t="shared" si="3"/>
        <v>4868000</v>
      </c>
      <c r="AW16" s="314"/>
      <c r="AX16" s="334">
        <v>4868000</v>
      </c>
      <c r="AY16" s="324" t="str">
        <f t="shared" si="4"/>
        <v>Đủ</v>
      </c>
      <c r="AZ16" s="325">
        <f t="shared" si="5"/>
        <v>0</v>
      </c>
      <c r="BA16" s="335"/>
      <c r="BB16" s="319"/>
      <c r="BC16" s="314"/>
      <c r="BD16" s="314"/>
      <c r="BE16" s="314"/>
      <c r="BF16" s="314"/>
      <c r="BG16" s="314"/>
      <c r="BH16" s="314"/>
      <c r="BI16" s="314"/>
      <c r="BJ16" s="314"/>
      <c r="BK16" s="314"/>
      <c r="BL16" s="319"/>
      <c r="BM16" s="314"/>
      <c r="BN16" s="314"/>
      <c r="BO16" s="314"/>
      <c r="BP16" s="314"/>
      <c r="BQ16" s="314"/>
      <c r="BR16" s="314"/>
      <c r="BS16" s="336"/>
      <c r="BT16" s="314"/>
      <c r="BU16" s="336"/>
      <c r="BV16" s="314"/>
      <c r="BW16" s="314"/>
      <c r="BX16" s="314"/>
      <c r="BY16" s="314"/>
      <c r="BZ16" s="314"/>
      <c r="CA16" s="314"/>
      <c r="CB16" s="314"/>
      <c r="CC16" s="314"/>
      <c r="CD16" s="314"/>
      <c r="CE16" s="314"/>
      <c r="CF16" s="314"/>
      <c r="CG16" s="314"/>
    </row>
    <row r="17" spans="1:85" ht="20.25" customHeight="1">
      <c r="A17" s="328" t="s">
        <v>49</v>
      </c>
      <c r="B17" s="328" t="s">
        <v>144</v>
      </c>
      <c r="C17" s="314">
        <v>601</v>
      </c>
      <c r="D17" s="314" t="s">
        <v>238</v>
      </c>
      <c r="E17" s="314">
        <v>1</v>
      </c>
      <c r="F17" s="315">
        <v>3600000</v>
      </c>
      <c r="G17" s="330">
        <v>4100000</v>
      </c>
      <c r="H17" s="315">
        <v>3600000</v>
      </c>
      <c r="I17" s="315">
        <v>3600000</v>
      </c>
      <c r="J17" s="340">
        <v>3600000</v>
      </c>
      <c r="K17" s="314">
        <v>30</v>
      </c>
      <c r="L17" s="314">
        <v>30</v>
      </c>
      <c r="M17" s="331"/>
      <c r="N17" s="319"/>
      <c r="O17" s="339">
        <v>2</v>
      </c>
      <c r="P17" s="314">
        <v>522</v>
      </c>
      <c r="Q17" s="314">
        <v>522</v>
      </c>
      <c r="R17" s="314">
        <f t="shared" si="6"/>
        <v>0</v>
      </c>
      <c r="S17" s="319">
        <v>4000</v>
      </c>
      <c r="T17" s="319">
        <f t="shared" si="1"/>
        <v>0</v>
      </c>
      <c r="U17" s="319"/>
      <c r="V17" s="319"/>
      <c r="W17" s="341"/>
      <c r="X17" s="314">
        <v>120000</v>
      </c>
      <c r="Y17" s="314">
        <f t="shared" si="7"/>
        <v>0</v>
      </c>
      <c r="Z17" s="339"/>
      <c r="AA17" s="314"/>
      <c r="AB17" s="314"/>
      <c r="AC17" s="328"/>
      <c r="AD17" s="314">
        <v>100000</v>
      </c>
      <c r="AE17" s="314">
        <f t="shared" si="8"/>
        <v>0</v>
      </c>
      <c r="AF17" s="314"/>
      <c r="AG17" s="314">
        <v>60000</v>
      </c>
      <c r="AH17" s="314">
        <f t="shared" si="9"/>
        <v>0</v>
      </c>
      <c r="AI17" s="314"/>
      <c r="AJ17" s="314"/>
      <c r="AK17" s="314"/>
      <c r="AL17" s="339"/>
      <c r="AM17" s="314"/>
      <c r="AN17" s="333"/>
      <c r="AO17" s="314"/>
      <c r="AP17" s="314">
        <v>120000</v>
      </c>
      <c r="AQ17" s="314">
        <f t="shared" si="10"/>
        <v>0</v>
      </c>
      <c r="AR17" s="313"/>
      <c r="AS17" s="313"/>
      <c r="AT17" s="313">
        <f t="shared" si="11"/>
        <v>0</v>
      </c>
      <c r="AU17" s="321">
        <f t="shared" si="2"/>
        <v>0</v>
      </c>
      <c r="AV17" s="322">
        <f t="shared" si="3"/>
        <v>7200000</v>
      </c>
      <c r="AW17" s="314" t="s">
        <v>300</v>
      </c>
      <c r="AX17" s="334">
        <f>1500000+3600000+2100000</f>
        <v>7200000</v>
      </c>
      <c r="AY17" s="324" t="str">
        <f t="shared" si="4"/>
        <v>Đủ</v>
      </c>
      <c r="AZ17" s="325">
        <f t="shared" si="5"/>
        <v>0</v>
      </c>
      <c r="BA17" s="335"/>
      <c r="BB17" s="319"/>
      <c r="BC17" s="314"/>
      <c r="BD17" s="314"/>
      <c r="BE17" s="314"/>
      <c r="BF17" s="314"/>
      <c r="BG17" s="314"/>
      <c r="BH17" s="314"/>
      <c r="BI17" s="314"/>
      <c r="BJ17" s="314"/>
      <c r="BK17" s="314"/>
      <c r="BL17" s="319"/>
      <c r="BM17" s="314"/>
      <c r="BN17" s="314"/>
      <c r="BO17" s="314"/>
      <c r="BP17" s="314"/>
      <c r="BQ17" s="314"/>
      <c r="BR17" s="314"/>
      <c r="BS17" s="336"/>
      <c r="BT17" s="314"/>
      <c r="BU17" s="336"/>
      <c r="BV17" s="314"/>
      <c r="BW17" s="314"/>
      <c r="BX17" s="314"/>
      <c r="BY17" s="314"/>
      <c r="BZ17" s="314"/>
      <c r="CA17" s="314"/>
      <c r="CB17" s="314"/>
      <c r="CC17" s="314"/>
      <c r="CD17" s="314"/>
      <c r="CE17" s="314"/>
      <c r="CF17" s="314"/>
      <c r="CG17" s="314"/>
    </row>
    <row r="18" spans="1:85" ht="18" customHeight="1">
      <c r="A18" s="328" t="s">
        <v>50</v>
      </c>
      <c r="B18" s="328" t="s">
        <v>144</v>
      </c>
      <c r="C18" s="314">
        <v>603</v>
      </c>
      <c r="D18" s="314" t="s">
        <v>238</v>
      </c>
      <c r="E18" s="314">
        <v>1</v>
      </c>
      <c r="F18" s="315">
        <v>3000000</v>
      </c>
      <c r="G18" s="330">
        <v>3300000</v>
      </c>
      <c r="H18" s="315">
        <v>3000000</v>
      </c>
      <c r="I18" s="315">
        <v>3000000</v>
      </c>
      <c r="J18" s="340"/>
      <c r="K18" s="314">
        <v>30</v>
      </c>
      <c r="L18" s="314">
        <v>30</v>
      </c>
      <c r="M18" s="331"/>
      <c r="N18" s="319"/>
      <c r="O18" s="339">
        <v>2</v>
      </c>
      <c r="P18" s="314">
        <v>228</v>
      </c>
      <c r="Q18" s="314">
        <v>328</v>
      </c>
      <c r="R18" s="314">
        <f t="shared" si="6"/>
        <v>100</v>
      </c>
      <c r="S18" s="319">
        <v>4000</v>
      </c>
      <c r="T18" s="319">
        <f t="shared" si="1"/>
        <v>400000</v>
      </c>
      <c r="U18" s="314"/>
      <c r="V18" s="314"/>
      <c r="W18" s="332">
        <v>2</v>
      </c>
      <c r="X18" s="314">
        <v>120000</v>
      </c>
      <c r="Y18" s="314">
        <f t="shared" si="7"/>
        <v>240000</v>
      </c>
      <c r="Z18" s="339"/>
      <c r="AA18" s="314"/>
      <c r="AB18" s="314">
        <f>Z18*AA18</f>
        <v>0</v>
      </c>
      <c r="AC18" s="328">
        <v>1</v>
      </c>
      <c r="AD18" s="314">
        <v>100000</v>
      </c>
      <c r="AE18" s="314">
        <f t="shared" si="8"/>
        <v>100000</v>
      </c>
      <c r="AF18" s="314">
        <v>2</v>
      </c>
      <c r="AG18" s="314">
        <v>60000</v>
      </c>
      <c r="AH18" s="314">
        <f t="shared" si="9"/>
        <v>120000</v>
      </c>
      <c r="AI18" s="314"/>
      <c r="AJ18" s="314"/>
      <c r="AK18" s="314"/>
      <c r="AL18" s="339"/>
      <c r="AM18" s="314"/>
      <c r="AN18" s="333"/>
      <c r="AO18" s="314">
        <v>2</v>
      </c>
      <c r="AP18" s="314">
        <v>120000</v>
      </c>
      <c r="AQ18" s="314">
        <f t="shared" si="10"/>
        <v>240000</v>
      </c>
      <c r="AR18" s="342">
        <f>(285-282)/2</f>
        <v>1.5</v>
      </c>
      <c r="AS18" s="313">
        <v>4000</v>
      </c>
      <c r="AT18" s="313">
        <f t="shared" si="11"/>
        <v>6000</v>
      </c>
      <c r="AU18" s="321">
        <f t="shared" si="2"/>
        <v>1106000</v>
      </c>
      <c r="AV18" s="322">
        <f t="shared" si="3"/>
        <v>4106000</v>
      </c>
      <c r="AW18" s="314"/>
      <c r="AX18" s="334">
        <v>4106000</v>
      </c>
      <c r="AY18" s="324" t="str">
        <f t="shared" si="4"/>
        <v>Đủ</v>
      </c>
      <c r="AZ18" s="325">
        <f t="shared" si="5"/>
        <v>0</v>
      </c>
      <c r="BA18" s="335"/>
      <c r="BB18" s="319"/>
      <c r="BC18" s="314"/>
      <c r="BD18" s="314"/>
      <c r="BE18" s="314"/>
      <c r="BF18" s="314"/>
      <c r="BG18" s="314"/>
      <c r="BH18" s="314"/>
      <c r="BI18" s="314"/>
      <c r="BJ18" s="314"/>
      <c r="BK18" s="314"/>
      <c r="BL18" s="319"/>
      <c r="BM18" s="314"/>
      <c r="BN18" s="314"/>
      <c r="BO18" s="314"/>
      <c r="BP18" s="314"/>
      <c r="BQ18" s="314"/>
      <c r="BR18" s="314"/>
      <c r="BS18" s="336"/>
      <c r="BT18" s="314"/>
      <c r="BU18" s="336"/>
      <c r="BV18" s="314"/>
      <c r="BW18" s="314"/>
      <c r="BX18" s="314"/>
      <c r="BY18" s="314"/>
      <c r="BZ18" s="314"/>
      <c r="CA18" s="314"/>
      <c r="CB18" s="314"/>
      <c r="CC18" s="314"/>
      <c r="CD18" s="314"/>
      <c r="CE18" s="314"/>
      <c r="CF18" s="314"/>
      <c r="CG18" s="314"/>
    </row>
    <row r="19" spans="1:85" ht="22.5" customHeight="1">
      <c r="A19" s="328" t="s">
        <v>51</v>
      </c>
      <c r="B19" s="328" t="s">
        <v>144</v>
      </c>
      <c r="C19" s="314">
        <v>604</v>
      </c>
      <c r="D19" s="314" t="s">
        <v>238</v>
      </c>
      <c r="E19" s="314">
        <v>1</v>
      </c>
      <c r="F19" s="315">
        <v>3500000</v>
      </c>
      <c r="G19" s="330">
        <v>3500000</v>
      </c>
      <c r="H19" s="315">
        <v>3500000</v>
      </c>
      <c r="I19" s="315">
        <v>3500000</v>
      </c>
      <c r="J19" s="340"/>
      <c r="K19" s="314">
        <v>30</v>
      </c>
      <c r="L19" s="314">
        <v>30</v>
      </c>
      <c r="M19" s="331"/>
      <c r="N19" s="319"/>
      <c r="O19" s="339">
        <v>3</v>
      </c>
      <c r="P19" s="314">
        <v>597</v>
      </c>
      <c r="Q19" s="314">
        <v>1166</v>
      </c>
      <c r="R19" s="314">
        <f t="shared" si="6"/>
        <v>569</v>
      </c>
      <c r="S19" s="319">
        <v>4000</v>
      </c>
      <c r="T19" s="319">
        <f t="shared" si="1"/>
        <v>2276000</v>
      </c>
      <c r="U19" s="314"/>
      <c r="V19" s="314"/>
      <c r="W19" s="332">
        <v>3</v>
      </c>
      <c r="X19" s="314">
        <v>120000</v>
      </c>
      <c r="Y19" s="314">
        <f t="shared" si="7"/>
        <v>360000</v>
      </c>
      <c r="Z19" s="339"/>
      <c r="AA19" s="314"/>
      <c r="AB19" s="314"/>
      <c r="AC19" s="328">
        <v>1</v>
      </c>
      <c r="AD19" s="314">
        <v>100000</v>
      </c>
      <c r="AE19" s="314">
        <f t="shared" si="8"/>
        <v>100000</v>
      </c>
      <c r="AF19" s="314">
        <v>3</v>
      </c>
      <c r="AG19" s="314">
        <v>60000</v>
      </c>
      <c r="AH19" s="314">
        <f t="shared" si="9"/>
        <v>180000</v>
      </c>
      <c r="AI19" s="314"/>
      <c r="AJ19" s="314"/>
      <c r="AK19" s="314"/>
      <c r="AL19" s="339"/>
      <c r="AM19" s="314"/>
      <c r="AN19" s="333"/>
      <c r="AO19" s="314">
        <v>3</v>
      </c>
      <c r="AP19" s="314">
        <v>120000</v>
      </c>
      <c r="AQ19" s="314">
        <f t="shared" si="10"/>
        <v>360000</v>
      </c>
      <c r="AR19" s="342">
        <f>(285-282)/2</f>
        <v>1.5</v>
      </c>
      <c r="AS19" s="313">
        <v>4000</v>
      </c>
      <c r="AT19" s="313">
        <f t="shared" si="11"/>
        <v>6000</v>
      </c>
      <c r="AU19" s="321">
        <f t="shared" si="2"/>
        <v>3282000</v>
      </c>
      <c r="AV19" s="322">
        <f t="shared" si="3"/>
        <v>6782000</v>
      </c>
      <c r="AW19" s="314"/>
      <c r="AX19" s="334">
        <v>6782000</v>
      </c>
      <c r="AY19" s="324" t="str">
        <f t="shared" si="4"/>
        <v>Đủ</v>
      </c>
      <c r="AZ19" s="325">
        <f t="shared" si="5"/>
        <v>0</v>
      </c>
      <c r="BA19" s="335"/>
      <c r="BB19" s="319"/>
      <c r="BC19" s="314"/>
      <c r="BD19" s="314"/>
      <c r="BE19" s="314"/>
      <c r="BF19" s="314"/>
      <c r="BG19" s="314"/>
      <c r="BH19" s="314"/>
      <c r="BI19" s="314"/>
      <c r="BJ19" s="314"/>
      <c r="BK19" s="314"/>
      <c r="BL19" s="319"/>
      <c r="BM19" s="314"/>
      <c r="BN19" s="314"/>
      <c r="BO19" s="314"/>
      <c r="BP19" s="314"/>
      <c r="BQ19" s="314"/>
      <c r="BR19" s="314"/>
      <c r="BS19" s="336"/>
      <c r="BT19" s="314"/>
      <c r="BU19" s="336"/>
      <c r="BV19" s="314"/>
      <c r="BW19" s="314"/>
      <c r="BX19" s="314"/>
      <c r="BY19" s="314"/>
      <c r="BZ19" s="314"/>
      <c r="CA19" s="314"/>
      <c r="CB19" s="314"/>
      <c r="CC19" s="314"/>
      <c r="CD19" s="314"/>
      <c r="CE19" s="314"/>
      <c r="CF19" s="314"/>
      <c r="CG19" s="314"/>
    </row>
  </sheetData>
  <mergeCells count="10">
    <mergeCell ref="AL1:AN1"/>
    <mergeCell ref="AO1:AQ1"/>
    <mergeCell ref="AR1:AT1"/>
    <mergeCell ref="BA1:BA2"/>
    <mergeCell ref="P1:T1"/>
    <mergeCell ref="U1:Y1"/>
    <mergeCell ref="Z1:AB1"/>
    <mergeCell ref="AC1:AE1"/>
    <mergeCell ref="AF1:AH1"/>
    <mergeCell ref="AI1:AK1"/>
  </mergeCells>
  <conditionalFormatting sqref="AZ4:AZ19">
    <cfRule type="notContainsBlanks" dxfId="3" priority="1">
      <formula>LEN(TRIM(AZ4))&gt;0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51E99-5C76-40DA-BFA6-3D7A2BAE79F0}">
  <dimension ref="A1:N86"/>
  <sheetViews>
    <sheetView tabSelected="1" topLeftCell="B1" workbookViewId="0">
      <selection activeCell="G9" sqref="G9:J11"/>
    </sheetView>
  </sheetViews>
  <sheetFormatPr defaultRowHeight="14.5"/>
  <cols>
    <col min="1" max="1" width="40.26953125" customWidth="1"/>
    <col min="2" max="2" width="24.36328125" customWidth="1"/>
    <col min="3" max="3" width="22.6328125" customWidth="1"/>
    <col min="4" max="4" width="22.453125" customWidth="1"/>
    <col min="6" max="13" width="8.7265625" customWidth="1"/>
    <col min="14" max="14" width="12" customWidth="1"/>
  </cols>
  <sheetData>
    <row r="1" spans="1:14" s="144" customFormat="1" ht="15">
      <c r="A1" s="345" t="s">
        <v>308</v>
      </c>
      <c r="B1" s="345"/>
      <c r="C1" s="345"/>
      <c r="D1" s="345"/>
      <c r="E1" s="143"/>
      <c r="F1" s="346" t="s">
        <v>239</v>
      </c>
      <c r="G1" s="347"/>
      <c r="H1" s="347"/>
      <c r="I1" s="347"/>
      <c r="J1" s="347"/>
      <c r="K1" s="347"/>
      <c r="L1" s="347"/>
      <c r="M1" s="348"/>
    </row>
    <row r="2" spans="1:14" s="144" customFormat="1">
      <c r="A2" s="145" t="s">
        <v>309</v>
      </c>
      <c r="B2" s="146"/>
      <c r="C2" s="147">
        <f>'HĐ T8.26  '!AX2-C7</f>
        <v>84186000</v>
      </c>
      <c r="D2" s="148" t="s">
        <v>173</v>
      </c>
      <c r="E2" s="149"/>
      <c r="F2" s="150"/>
      <c r="G2" s="150" t="s">
        <v>174</v>
      </c>
      <c r="H2" s="150" t="s">
        <v>175</v>
      </c>
      <c r="I2" s="150" t="s">
        <v>176</v>
      </c>
      <c r="J2" s="150" t="s">
        <v>177</v>
      </c>
      <c r="K2" s="151" t="s">
        <v>178</v>
      </c>
      <c r="L2" s="152" t="s">
        <v>179</v>
      </c>
      <c r="M2" s="152" t="s">
        <v>180</v>
      </c>
    </row>
    <row r="3" spans="1:14" s="144" customFormat="1">
      <c r="A3" s="349" t="s">
        <v>181</v>
      </c>
      <c r="B3" s="154"/>
      <c r="C3" s="155">
        <v>4100000</v>
      </c>
      <c r="D3" s="156" t="s">
        <v>310</v>
      </c>
      <c r="E3" s="149"/>
      <c r="F3" s="157" t="s">
        <v>182</v>
      </c>
      <c r="G3" s="155">
        <v>10</v>
      </c>
      <c r="H3" s="155">
        <f>G3*($C$22/100)</f>
        <v>4800000</v>
      </c>
      <c r="I3" s="155">
        <f>G3*$C$73/100</f>
        <v>2299093.2000000002</v>
      </c>
      <c r="J3" s="155">
        <f>G3*$C$74/100</f>
        <v>1466496.9248776555</v>
      </c>
      <c r="K3" s="158"/>
      <c r="L3" s="156"/>
      <c r="M3" s="157">
        <f>H3+J3</f>
        <v>6266496.9248776557</v>
      </c>
    </row>
    <row r="4" spans="1:14" s="144" customFormat="1">
      <c r="A4" s="350"/>
      <c r="B4" s="154"/>
      <c r="C4" s="155">
        <v>3900000</v>
      </c>
      <c r="D4" s="156" t="s">
        <v>290</v>
      </c>
      <c r="E4" s="149"/>
      <c r="F4" s="157" t="s">
        <v>183</v>
      </c>
      <c r="G4" s="155">
        <v>20</v>
      </c>
      <c r="H4" s="155">
        <f t="shared" ref="H4:H11" si="0">G4*($C$22/100)</f>
        <v>9600000</v>
      </c>
      <c r="I4" s="155">
        <f t="shared" ref="I4:I11" si="1">G4*$C$73/100</f>
        <v>4598186.4000000004</v>
      </c>
      <c r="J4" s="155">
        <f t="shared" ref="J4:J11" si="2">G4*$C$74/100</f>
        <v>2932993.8497553109</v>
      </c>
      <c r="K4" s="158"/>
      <c r="L4" s="156"/>
      <c r="M4" s="157">
        <f t="shared" ref="M4:M11" si="3">H4+J4</f>
        <v>12532993.849755311</v>
      </c>
    </row>
    <row r="5" spans="1:14" s="144" customFormat="1">
      <c r="A5" s="351"/>
      <c r="B5" s="154"/>
      <c r="C5" s="155"/>
      <c r="D5" s="156"/>
      <c r="F5" s="157" t="s">
        <v>240</v>
      </c>
      <c r="G5" s="155">
        <v>15</v>
      </c>
      <c r="H5" s="155">
        <f t="shared" si="0"/>
        <v>7200000</v>
      </c>
      <c r="I5" s="155">
        <f t="shared" si="1"/>
        <v>3448639.8</v>
      </c>
      <c r="J5" s="155">
        <f t="shared" si="2"/>
        <v>2199745.3873164831</v>
      </c>
      <c r="K5" s="158"/>
      <c r="L5" s="156"/>
      <c r="M5" s="157">
        <f t="shared" si="3"/>
        <v>9399745.387316484</v>
      </c>
    </row>
    <row r="6" spans="1:14" s="144" customFormat="1">
      <c r="A6" s="153" t="s">
        <v>185</v>
      </c>
      <c r="B6" s="159"/>
      <c r="C6" s="160"/>
      <c r="D6" s="161"/>
      <c r="F6" s="157" t="s">
        <v>241</v>
      </c>
      <c r="G6" s="155">
        <v>5</v>
      </c>
      <c r="H6" s="155">
        <f t="shared" si="0"/>
        <v>2400000</v>
      </c>
      <c r="I6" s="155">
        <f t="shared" si="1"/>
        <v>1149546.6000000001</v>
      </c>
      <c r="J6" s="155">
        <f t="shared" si="2"/>
        <v>733248.46243882773</v>
      </c>
      <c r="K6" s="158"/>
      <c r="L6" s="156"/>
      <c r="M6" s="157">
        <f t="shared" si="3"/>
        <v>3133248.4624388278</v>
      </c>
    </row>
    <row r="7" spans="1:14" s="144" customFormat="1">
      <c r="A7" s="349" t="s">
        <v>186</v>
      </c>
      <c r="B7" s="159"/>
      <c r="C7" s="160">
        <v>2940000</v>
      </c>
      <c r="D7" s="161" t="s">
        <v>310</v>
      </c>
      <c r="F7" s="157" t="s">
        <v>242</v>
      </c>
      <c r="G7" s="155">
        <v>15</v>
      </c>
      <c r="H7" s="155">
        <f t="shared" si="0"/>
        <v>7200000</v>
      </c>
      <c r="I7" s="155">
        <f t="shared" si="1"/>
        <v>3448639.8</v>
      </c>
      <c r="J7" s="155">
        <f t="shared" si="2"/>
        <v>2199745.3873164831</v>
      </c>
      <c r="K7" s="158"/>
      <c r="L7" s="156"/>
      <c r="M7" s="157">
        <f t="shared" si="3"/>
        <v>9399745.387316484</v>
      </c>
    </row>
    <row r="8" spans="1:14" s="144" customFormat="1">
      <c r="A8" s="351"/>
      <c r="B8" s="159"/>
      <c r="C8" s="160"/>
      <c r="D8" s="161"/>
      <c r="F8" s="157" t="s">
        <v>184</v>
      </c>
      <c r="G8" s="155">
        <v>10</v>
      </c>
      <c r="H8" s="155">
        <f t="shared" si="0"/>
        <v>4800000</v>
      </c>
      <c r="I8" s="155">
        <f t="shared" si="1"/>
        <v>2299093.2000000002</v>
      </c>
      <c r="J8" s="155">
        <f t="shared" si="2"/>
        <v>1466496.9248776555</v>
      </c>
      <c r="K8" s="158"/>
      <c r="L8" s="156"/>
      <c r="M8" s="157">
        <f t="shared" si="3"/>
        <v>6266496.9248776557</v>
      </c>
      <c r="N8" s="166">
        <f>H13+J13</f>
        <v>62664969.248776555</v>
      </c>
    </row>
    <row r="9" spans="1:14" s="144" customFormat="1">
      <c r="A9" s="153"/>
      <c r="B9" s="159" t="s">
        <v>187</v>
      </c>
      <c r="C9" s="160">
        <v>1</v>
      </c>
      <c r="D9" s="161"/>
      <c r="F9" s="157" t="s">
        <v>243</v>
      </c>
      <c r="G9" s="155">
        <v>5</v>
      </c>
      <c r="H9" s="155">
        <f t="shared" si="0"/>
        <v>2400000</v>
      </c>
      <c r="I9" s="155">
        <f t="shared" si="1"/>
        <v>1149546.6000000001</v>
      </c>
      <c r="J9" s="155">
        <f t="shared" si="2"/>
        <v>733248.46243882773</v>
      </c>
      <c r="K9" s="158"/>
      <c r="L9" s="156"/>
      <c r="M9" s="157">
        <f t="shared" si="3"/>
        <v>3133248.4624388278</v>
      </c>
      <c r="N9" s="166">
        <f>H13+J13</f>
        <v>62664969.248776555</v>
      </c>
    </row>
    <row r="10" spans="1:14" s="144" customFormat="1">
      <c r="A10" s="153"/>
      <c r="B10" s="159" t="s">
        <v>188</v>
      </c>
      <c r="C10" s="160">
        <v>2</v>
      </c>
      <c r="D10" s="161"/>
      <c r="F10" s="157" t="s">
        <v>244</v>
      </c>
      <c r="G10" s="155">
        <v>10</v>
      </c>
      <c r="H10" s="155">
        <f t="shared" si="0"/>
        <v>4800000</v>
      </c>
      <c r="I10" s="155">
        <f t="shared" si="1"/>
        <v>2299093.2000000002</v>
      </c>
      <c r="J10" s="155">
        <f t="shared" si="2"/>
        <v>1466496.9248776555</v>
      </c>
      <c r="K10" s="158"/>
      <c r="L10" s="156"/>
      <c r="M10" s="157">
        <f t="shared" si="3"/>
        <v>6266496.9248776557</v>
      </c>
    </row>
    <row r="11" spans="1:14" s="144" customFormat="1">
      <c r="A11" s="153"/>
      <c r="B11" s="159" t="s">
        <v>189</v>
      </c>
      <c r="C11" s="160">
        <v>0</v>
      </c>
      <c r="D11" s="161"/>
      <c r="F11" s="157" t="s">
        <v>245</v>
      </c>
      <c r="G11" s="155">
        <v>10</v>
      </c>
      <c r="H11" s="155">
        <f t="shared" si="0"/>
        <v>4800000</v>
      </c>
      <c r="I11" s="155">
        <f t="shared" si="1"/>
        <v>2299093.2000000002</v>
      </c>
      <c r="J11" s="155">
        <f t="shared" si="2"/>
        <v>1466496.9248776555</v>
      </c>
      <c r="K11" s="158"/>
      <c r="L11" s="156"/>
      <c r="M11" s="157">
        <f t="shared" si="3"/>
        <v>6266496.9248776557</v>
      </c>
    </row>
    <row r="12" spans="1:14" s="144" customFormat="1">
      <c r="A12" s="167"/>
      <c r="B12" s="154" t="s">
        <v>190</v>
      </c>
      <c r="C12" s="168">
        <f>'HĐ T8.26  '!I2-'HĐ T8.26  '!I17+'[17]PHÒNG MỚI THÁNG 8'!$H$18</f>
        <v>57348387.096774191</v>
      </c>
      <c r="D12" s="169"/>
      <c r="F12" s="157"/>
      <c r="G12" s="155"/>
      <c r="H12" s="155"/>
      <c r="I12" s="155"/>
      <c r="J12" s="155"/>
      <c r="K12" s="158"/>
      <c r="L12" s="156"/>
      <c r="M12" s="157"/>
    </row>
    <row r="13" spans="1:14" s="144" customFormat="1">
      <c r="A13" s="170"/>
      <c r="B13" s="170" t="s">
        <v>191</v>
      </c>
      <c r="C13" s="171">
        <f>'HĐ T8.26  '!T2-'HĐ T8.26  '!T17+'HĐ T8.26  '!AT2+'[17]HOÀN CỌC'!$S$9</f>
        <v>12099500</v>
      </c>
      <c r="D13" s="172"/>
      <c r="E13" s="173"/>
      <c r="F13" s="162"/>
      <c r="G13" s="163">
        <f>SUM(G3:G12)</f>
        <v>100</v>
      </c>
      <c r="H13" s="163">
        <f>SUM(H3:H12)</f>
        <v>48000000</v>
      </c>
      <c r="I13" s="163">
        <f>SUM(I3:I12)</f>
        <v>22990932</v>
      </c>
      <c r="J13" s="163">
        <f>SUM(J3:J12)</f>
        <v>14664969.248776551</v>
      </c>
      <c r="K13" s="164">
        <f>C78*100</f>
        <v>23.964299294146638</v>
      </c>
      <c r="L13" s="162">
        <f>C80</f>
        <v>3.0238456949558827</v>
      </c>
      <c r="M13" s="163">
        <f>SUM(M3:M12)</f>
        <v>62664969.24877657</v>
      </c>
    </row>
    <row r="14" spans="1:14" s="144" customFormat="1">
      <c r="A14" s="174"/>
      <c r="B14" s="174" t="s">
        <v>192</v>
      </c>
      <c r="C14" s="168">
        <f>'HĐ T8.26  '!Y2-'HĐ T8.26  '!Y17+'[17]PHÒNG MỚI THÁNG 8'!$X$18</f>
        <v>3344516.1290322579</v>
      </c>
      <c r="D14" s="175"/>
      <c r="E14" s="173"/>
    </row>
    <row r="15" spans="1:14" s="144" customFormat="1">
      <c r="A15" s="174"/>
      <c r="B15" s="174" t="s">
        <v>193</v>
      </c>
      <c r="C15" s="168">
        <f>(('HĐ T8.26  '!AQ2-'HĐ T8.26  '!AQ17)/2)+'[17]PHÒNG MỚI THÁNG 8'!$AP$18/2</f>
        <v>1792258.064516129</v>
      </c>
      <c r="D15" s="175"/>
      <c r="E15" s="173"/>
      <c r="F15" s="165"/>
    </row>
    <row r="16" spans="1:14" s="144" customFormat="1">
      <c r="A16" s="174"/>
      <c r="B16" s="174" t="s">
        <v>194</v>
      </c>
      <c r="C16" s="168">
        <f>'HĐ T8.26  '!AE2-'HĐ T8.26  '!AE17+'[17]PHÒNG MỚI THÁNG 8'!$AD$18</f>
        <v>1093548.3870967743</v>
      </c>
      <c r="D16" s="175"/>
      <c r="E16" s="173"/>
    </row>
    <row r="17" spans="1:14" s="144" customFormat="1">
      <c r="A17" s="176"/>
      <c r="B17" s="174" t="s">
        <v>195</v>
      </c>
      <c r="C17" s="177">
        <f>'HĐ T8.26  '!AK2</f>
        <v>300000</v>
      </c>
      <c r="D17" s="178"/>
      <c r="E17" s="173"/>
    </row>
    <row r="18" spans="1:14" s="144" customFormat="1">
      <c r="A18" s="176"/>
      <c r="B18" s="176" t="s">
        <v>196</v>
      </c>
      <c r="C18" s="160">
        <f>'HĐ T8.26  '!AH2-'HĐ T8.26  '!AH17+'[17]PHÒNG MỚI THÁNG 8'!$AG$18</f>
        <v>1792258.064516129</v>
      </c>
      <c r="D18" s="178"/>
      <c r="E18" s="173"/>
    </row>
    <row r="19" spans="1:14" s="144" customFormat="1" ht="15" thickBot="1">
      <c r="A19" s="176"/>
      <c r="B19" s="179" t="s">
        <v>197</v>
      </c>
      <c r="C19" s="180">
        <f>(('HĐ T8.26  '!AQ2-'HĐ T8.26  '!AQ17)/2)+'[17]PHÒNG MỚI THÁNG 8'!$AP$18/2</f>
        <v>1792258.064516129</v>
      </c>
      <c r="D19" s="178"/>
      <c r="E19" s="173"/>
    </row>
    <row r="20" spans="1:14" s="144" customFormat="1" ht="15" thickBot="1">
      <c r="A20" s="179"/>
      <c r="B20" s="181" t="s">
        <v>198</v>
      </c>
      <c r="C20" s="182">
        <f>SUM(C13:C19)</f>
        <v>22214338.709677421</v>
      </c>
      <c r="D20" s="183"/>
      <c r="E20" s="173"/>
    </row>
    <row r="21" spans="1:14" s="144" customFormat="1">
      <c r="A21" s="184"/>
      <c r="B21" s="185"/>
      <c r="C21" s="186"/>
      <c r="D21" s="187"/>
      <c r="E21" s="173"/>
      <c r="N21" s="166"/>
    </row>
    <row r="22" spans="1:14" s="144" customFormat="1">
      <c r="A22" s="190" t="s">
        <v>199</v>
      </c>
      <c r="B22" s="154" t="s">
        <v>200</v>
      </c>
      <c r="C22" s="155">
        <v>48000000</v>
      </c>
      <c r="D22" s="156"/>
      <c r="E22" s="173"/>
    </row>
    <row r="23" spans="1:14" s="144" customFormat="1">
      <c r="A23" s="343" t="s">
        <v>201</v>
      </c>
      <c r="B23" s="192"/>
      <c r="C23" s="155"/>
      <c r="D23" s="156"/>
      <c r="E23" s="173"/>
      <c r="N23" s="189"/>
    </row>
    <row r="24" spans="1:14" s="144" customFormat="1">
      <c r="A24" s="344"/>
      <c r="B24" s="192"/>
      <c r="C24" s="155"/>
      <c r="D24" s="156"/>
      <c r="E24" s="173"/>
      <c r="N24" s="189"/>
    </row>
    <row r="25" spans="1:14" s="144" customFormat="1">
      <c r="A25" s="344"/>
      <c r="B25" s="154"/>
      <c r="C25" s="155"/>
      <c r="D25" s="155"/>
      <c r="E25" s="173"/>
      <c r="N25" s="189"/>
    </row>
    <row r="26" spans="1:14" s="144" customFormat="1">
      <c r="A26" s="344"/>
      <c r="B26" s="154"/>
      <c r="C26" s="155"/>
      <c r="D26" s="156"/>
      <c r="E26" s="173"/>
      <c r="N26" s="189"/>
    </row>
    <row r="27" spans="1:14" s="144" customFormat="1">
      <c r="A27" s="352"/>
      <c r="B27" s="154"/>
      <c r="C27" s="195"/>
      <c r="D27" s="156"/>
      <c r="E27" s="196"/>
      <c r="F27" s="165"/>
      <c r="N27" s="189"/>
    </row>
    <row r="28" spans="1:14" s="144" customFormat="1">
      <c r="A28" s="343" t="s">
        <v>202</v>
      </c>
      <c r="B28" s="154" t="s">
        <v>19</v>
      </c>
      <c r="C28" s="155">
        <v>12595068</v>
      </c>
      <c r="D28" s="156"/>
      <c r="E28" s="173"/>
      <c r="F28" s="188"/>
      <c r="G28" s="188"/>
      <c r="H28" s="188"/>
      <c r="I28" s="188"/>
      <c r="J28" s="188"/>
      <c r="K28" s="188"/>
      <c r="L28" s="188"/>
      <c r="M28" s="189"/>
      <c r="N28" s="189"/>
    </row>
    <row r="29" spans="1:14" s="144" customFormat="1">
      <c r="A29" s="344"/>
      <c r="B29" s="154" t="s">
        <v>20</v>
      </c>
      <c r="C29" s="155">
        <v>300000</v>
      </c>
      <c r="D29" s="156"/>
      <c r="E29" s="173"/>
      <c r="F29" s="188"/>
      <c r="G29" s="188"/>
      <c r="H29" s="188"/>
      <c r="I29" s="188"/>
      <c r="J29" s="188"/>
      <c r="K29" s="188"/>
      <c r="L29" s="188"/>
      <c r="M29" s="191"/>
      <c r="N29" s="189"/>
    </row>
    <row r="30" spans="1:14" s="144" customFormat="1">
      <c r="A30" s="344"/>
      <c r="B30" s="154" t="s">
        <v>203</v>
      </c>
      <c r="C30" s="155">
        <v>0</v>
      </c>
      <c r="D30" s="156"/>
      <c r="E30" s="173"/>
      <c r="F30" s="173"/>
      <c r="G30" s="173"/>
      <c r="H30" s="173"/>
      <c r="I30" s="173"/>
      <c r="J30" s="193"/>
      <c r="K30" s="194"/>
      <c r="L30" s="173"/>
      <c r="M30" s="173"/>
      <c r="N30" s="189"/>
    </row>
    <row r="31" spans="1:14" s="144" customFormat="1">
      <c r="A31" s="344"/>
      <c r="B31" s="154" t="s">
        <v>204</v>
      </c>
      <c r="C31" s="155">
        <v>300000</v>
      </c>
      <c r="D31" s="155"/>
      <c r="E31" s="149"/>
      <c r="F31" s="173"/>
      <c r="G31" s="173"/>
      <c r="H31" s="173"/>
      <c r="I31" s="173"/>
      <c r="J31" s="193"/>
      <c r="K31" s="194"/>
      <c r="L31" s="173"/>
      <c r="M31" s="173"/>
    </row>
    <row r="32" spans="1:14" s="144" customFormat="1">
      <c r="A32" s="344"/>
      <c r="B32" s="154" t="s">
        <v>205</v>
      </c>
      <c r="C32" s="155"/>
      <c r="D32" s="156"/>
      <c r="E32" s="149"/>
      <c r="F32" s="173"/>
      <c r="G32" s="173"/>
      <c r="H32" s="173"/>
      <c r="I32" s="173"/>
      <c r="J32" s="193"/>
      <c r="K32" s="194"/>
      <c r="L32" s="173"/>
      <c r="M32" s="173"/>
    </row>
    <row r="33" spans="1:13" s="144" customFormat="1">
      <c r="A33" s="344"/>
      <c r="B33" s="154" t="s">
        <v>206</v>
      </c>
      <c r="C33" s="155"/>
      <c r="D33" s="156"/>
      <c r="E33" s="149"/>
      <c r="F33" s="173"/>
      <c r="G33" s="173"/>
      <c r="H33" s="173"/>
      <c r="I33" s="173"/>
      <c r="J33" s="193"/>
      <c r="K33" s="194"/>
      <c r="L33" s="173"/>
      <c r="M33" s="173"/>
    </row>
    <row r="34" spans="1:13" s="144" customFormat="1">
      <c r="A34" s="198" t="s">
        <v>207</v>
      </c>
      <c r="B34" s="145"/>
      <c r="C34" s="147">
        <f>SUM(C22:C33)</f>
        <v>61195068</v>
      </c>
      <c r="D34" s="156"/>
      <c r="E34" s="149"/>
      <c r="F34" s="173"/>
      <c r="G34" s="173"/>
      <c r="H34" s="173"/>
      <c r="I34" s="173"/>
      <c r="J34" s="193"/>
      <c r="K34" s="194"/>
      <c r="L34" s="173"/>
      <c r="M34" s="173"/>
    </row>
    <row r="35" spans="1:13" s="144" customFormat="1">
      <c r="A35" s="353" t="s">
        <v>208</v>
      </c>
      <c r="B35" s="154" t="s">
        <v>21</v>
      </c>
      <c r="C35" s="155">
        <v>1752429.2642787572</v>
      </c>
      <c r="D35" s="155"/>
      <c r="E35" s="143"/>
      <c r="F35" s="173"/>
      <c r="G35" s="173"/>
      <c r="H35" s="173"/>
      <c r="I35" s="173"/>
      <c r="J35" s="193"/>
      <c r="K35" s="194"/>
      <c r="L35" s="173"/>
      <c r="M35" s="173"/>
    </row>
    <row r="36" spans="1:13" s="144" customFormat="1">
      <c r="A36" s="354"/>
      <c r="B36" s="154" t="s">
        <v>22</v>
      </c>
      <c r="C36" s="155">
        <f>(13000000/1382)*15</f>
        <v>141099.85528219971</v>
      </c>
      <c r="D36" s="155"/>
      <c r="E36" s="143"/>
      <c r="F36" s="173"/>
      <c r="G36" s="173"/>
      <c r="H36" s="173"/>
      <c r="I36" s="173"/>
      <c r="J36" s="193"/>
      <c r="K36" s="194"/>
      <c r="L36" s="173"/>
      <c r="M36" s="173"/>
    </row>
    <row r="37" spans="1:13" s="144" customFormat="1">
      <c r="A37" s="354"/>
      <c r="B37" s="154" t="s">
        <v>209</v>
      </c>
      <c r="C37" s="155">
        <f>(20000000/1382)*15+10000*15</f>
        <v>367076.70043415343</v>
      </c>
      <c r="D37" s="155"/>
      <c r="E37" s="143"/>
      <c r="F37" s="149"/>
      <c r="G37" s="149"/>
      <c r="H37" s="149"/>
      <c r="I37" s="149"/>
      <c r="J37" s="143"/>
      <c r="K37" s="197"/>
      <c r="L37" s="149"/>
      <c r="M37" s="149"/>
    </row>
    <row r="38" spans="1:13" s="144" customFormat="1">
      <c r="A38" s="354"/>
      <c r="B38" s="154" t="s">
        <v>24</v>
      </c>
      <c r="C38" s="155">
        <f>(4000000/1382)*15</f>
        <v>43415.340086830678</v>
      </c>
      <c r="D38" s="155"/>
      <c r="E38" s="143"/>
      <c r="F38" s="149"/>
      <c r="G38" s="149"/>
      <c r="H38" s="149"/>
      <c r="I38" s="149"/>
      <c r="J38" s="143"/>
      <c r="K38" s="197"/>
      <c r="L38" s="149"/>
      <c r="M38" s="149"/>
    </row>
    <row r="39" spans="1:13" s="144" customFormat="1">
      <c r="A39" s="354"/>
      <c r="B39" s="154" t="s">
        <v>255</v>
      </c>
      <c r="C39" s="155">
        <f>(3000000/1382)*15</f>
        <v>32561.505065123012</v>
      </c>
      <c r="D39" s="155"/>
      <c r="E39" s="143"/>
      <c r="F39" s="149"/>
      <c r="G39" s="149"/>
      <c r="H39" s="149"/>
      <c r="I39" s="149"/>
      <c r="J39" s="143"/>
      <c r="K39" s="197"/>
      <c r="L39" s="149"/>
      <c r="M39" s="149"/>
    </row>
    <row r="40" spans="1:13" s="144" customFormat="1">
      <c r="A40" s="354"/>
      <c r="B40" s="154" t="s">
        <v>210</v>
      </c>
      <c r="C40" s="155">
        <f>(SUM('[18]THÁNG 8'!$Y$141/1382)*15)</f>
        <v>621924.75759768451</v>
      </c>
      <c r="D40" s="155"/>
      <c r="E40" s="143"/>
      <c r="F40" s="149"/>
      <c r="G40" s="149"/>
      <c r="H40" s="149"/>
      <c r="I40" s="149"/>
      <c r="J40" s="143"/>
      <c r="K40" s="197"/>
      <c r="L40" s="149"/>
      <c r="M40" s="149"/>
    </row>
    <row r="41" spans="1:13" s="144" customFormat="1">
      <c r="A41" s="354"/>
      <c r="B41" s="154" t="s">
        <v>26</v>
      </c>
      <c r="C41" s="155">
        <v>550000</v>
      </c>
      <c r="D41" s="155"/>
      <c r="E41" s="143"/>
      <c r="F41" s="149"/>
      <c r="G41" s="149"/>
      <c r="H41" s="149"/>
      <c r="I41" s="149"/>
      <c r="J41" s="143"/>
      <c r="K41" s="197"/>
      <c r="L41" s="149"/>
      <c r="M41" s="149"/>
    </row>
    <row r="42" spans="1:13" s="144" customFormat="1">
      <c r="A42" s="354"/>
      <c r="B42" s="154" t="s">
        <v>27</v>
      </c>
      <c r="C42" s="155">
        <f>150000+10000+(2000000/1382)*15</f>
        <v>181707.67004341533</v>
      </c>
      <c r="D42" s="155"/>
      <c r="E42" s="143"/>
      <c r="F42" s="149"/>
      <c r="G42" s="149"/>
      <c r="H42" s="149"/>
      <c r="I42" s="149"/>
      <c r="J42" s="143"/>
      <c r="K42" s="197"/>
      <c r="L42" s="149"/>
      <c r="M42" s="149"/>
    </row>
    <row r="43" spans="1:13" s="144" customFormat="1">
      <c r="A43" s="354"/>
      <c r="B43" s="154" t="s">
        <v>28</v>
      </c>
      <c r="C43" s="155">
        <f>(25000000/1343)*15</f>
        <v>279225.61429635144</v>
      </c>
      <c r="D43" s="155"/>
      <c r="E43" s="143"/>
      <c r="F43" s="149"/>
      <c r="G43" s="149"/>
      <c r="H43" s="149"/>
      <c r="I43" s="149"/>
      <c r="J43" s="143"/>
      <c r="K43" s="197"/>
      <c r="L43" s="149"/>
      <c r="M43" s="149"/>
    </row>
    <row r="44" spans="1:13" s="144" customFormat="1">
      <c r="A44" s="354"/>
      <c r="B44" s="154" t="s">
        <v>29</v>
      </c>
      <c r="C44" s="155"/>
      <c r="D44" s="155"/>
      <c r="E44" s="143"/>
      <c r="F44" s="149"/>
      <c r="G44" s="149"/>
      <c r="H44" s="149"/>
      <c r="I44" s="149"/>
      <c r="J44" s="143"/>
      <c r="K44" s="197"/>
      <c r="L44" s="149"/>
      <c r="M44" s="149"/>
    </row>
    <row r="45" spans="1:13" s="144" customFormat="1">
      <c r="A45" s="355"/>
      <c r="B45" s="154" t="s">
        <v>211</v>
      </c>
      <c r="C45" s="155">
        <f>('[19]THÁNG 8.26   '!$B$12/1382)*15</f>
        <v>584492.37698986987</v>
      </c>
      <c r="D45" s="155"/>
      <c r="E45" s="143"/>
      <c r="F45" s="149"/>
      <c r="G45" s="149"/>
      <c r="H45" s="149"/>
      <c r="I45" s="149"/>
      <c r="J45" s="143"/>
      <c r="K45" s="197"/>
      <c r="L45" s="149"/>
      <c r="M45" s="149"/>
    </row>
    <row r="46" spans="1:13" s="144" customFormat="1">
      <c r="A46" s="343" t="s">
        <v>212</v>
      </c>
      <c r="B46" s="349" t="s">
        <v>31</v>
      </c>
      <c r="C46" s="155">
        <f>('[19]THÁNG 8.26   '!$F$10/1382)*15</f>
        <v>257029.6671490593</v>
      </c>
      <c r="D46" s="155"/>
      <c r="E46" s="143"/>
      <c r="F46" s="149"/>
      <c r="G46" s="149"/>
      <c r="H46" s="149"/>
      <c r="I46" s="149"/>
      <c r="J46" s="143"/>
      <c r="K46" s="197"/>
      <c r="L46" s="149"/>
      <c r="M46" s="149"/>
    </row>
    <row r="47" spans="1:13" s="144" customFormat="1">
      <c r="A47" s="344"/>
      <c r="B47" s="350"/>
      <c r="C47" s="155">
        <v>2050000</v>
      </c>
      <c r="D47" s="156" t="s">
        <v>310</v>
      </c>
      <c r="E47" s="143"/>
      <c r="F47" s="149"/>
      <c r="G47" s="149"/>
      <c r="H47" s="149"/>
      <c r="I47" s="149"/>
      <c r="J47" s="143"/>
      <c r="K47" s="197"/>
      <c r="L47" s="149"/>
      <c r="M47" s="149"/>
    </row>
    <row r="48" spans="1:13" s="144" customFormat="1">
      <c r="A48" s="344"/>
      <c r="B48" s="350"/>
      <c r="C48" s="155">
        <v>1365000</v>
      </c>
      <c r="D48" s="156" t="s">
        <v>290</v>
      </c>
      <c r="E48" s="143"/>
      <c r="F48" s="149"/>
      <c r="G48" s="149"/>
      <c r="H48" s="149"/>
      <c r="I48" s="149"/>
      <c r="J48" s="143"/>
      <c r="K48" s="197"/>
      <c r="L48" s="149"/>
      <c r="M48" s="149"/>
    </row>
    <row r="49" spans="1:13" s="144" customFormat="1">
      <c r="A49" s="344"/>
      <c r="B49" s="351"/>
      <c r="C49" s="155"/>
      <c r="D49" s="155"/>
      <c r="E49" s="143"/>
      <c r="F49" s="149"/>
      <c r="G49" s="149"/>
      <c r="H49" s="149"/>
      <c r="I49" s="149"/>
      <c r="J49" s="143"/>
      <c r="K49" s="197"/>
      <c r="L49" s="149"/>
      <c r="M49" s="149"/>
    </row>
    <row r="50" spans="1:13" s="144" customFormat="1">
      <c r="A50" s="344"/>
      <c r="B50" s="356" t="s">
        <v>213</v>
      </c>
      <c r="C50" s="155">
        <v>100000</v>
      </c>
      <c r="D50" s="199" t="s">
        <v>311</v>
      </c>
      <c r="E50" s="143"/>
      <c r="F50" s="149"/>
      <c r="G50" s="149"/>
      <c r="H50" s="149"/>
      <c r="I50" s="149"/>
      <c r="J50" s="143"/>
      <c r="K50" s="197"/>
      <c r="L50" s="149"/>
      <c r="M50" s="149"/>
    </row>
    <row r="51" spans="1:13" s="144" customFormat="1" ht="24" customHeight="1">
      <c r="A51" s="344"/>
      <c r="B51" s="357"/>
      <c r="C51" s="200"/>
      <c r="D51" s="199"/>
      <c r="E51" s="143"/>
      <c r="F51" s="149"/>
      <c r="G51" s="149"/>
      <c r="H51" s="149"/>
      <c r="I51" s="149"/>
      <c r="J51" s="143"/>
      <c r="K51" s="197"/>
      <c r="L51" s="149"/>
      <c r="M51" s="149"/>
    </row>
    <row r="52" spans="1:13" s="144" customFormat="1">
      <c r="A52" s="344"/>
      <c r="B52" s="357"/>
      <c r="C52" s="200"/>
      <c r="D52" s="199"/>
      <c r="E52" s="143"/>
      <c r="F52" s="149"/>
      <c r="G52" s="149"/>
      <c r="H52" s="149"/>
      <c r="I52" s="149"/>
      <c r="J52" s="143"/>
      <c r="K52" s="197"/>
      <c r="L52" s="149"/>
      <c r="M52" s="149"/>
    </row>
    <row r="53" spans="1:13" s="144" customFormat="1">
      <c r="A53" s="344"/>
      <c r="B53" s="357"/>
      <c r="C53" s="200"/>
      <c r="D53" s="199"/>
      <c r="E53" s="143"/>
      <c r="F53" s="149"/>
      <c r="G53" s="149"/>
      <c r="H53" s="149"/>
      <c r="I53" s="149"/>
      <c r="J53" s="143"/>
      <c r="K53" s="197"/>
      <c r="L53" s="149"/>
      <c r="M53" s="149"/>
    </row>
    <row r="54" spans="1:13" s="144" customFormat="1">
      <c r="A54" s="344"/>
      <c r="B54" s="357"/>
      <c r="C54" s="200"/>
      <c r="D54" s="199"/>
      <c r="E54" s="143"/>
      <c r="F54" s="149"/>
      <c r="G54" s="149"/>
      <c r="H54" s="149"/>
      <c r="I54" s="149"/>
      <c r="J54" s="143"/>
      <c r="K54" s="197"/>
      <c r="L54" s="149"/>
      <c r="M54" s="149"/>
    </row>
    <row r="55" spans="1:13" s="144" customFormat="1">
      <c r="A55" s="344"/>
      <c r="B55" s="357"/>
      <c r="C55" s="200"/>
      <c r="D55" s="199"/>
      <c r="E55" s="143"/>
      <c r="F55" s="149"/>
      <c r="G55" s="149"/>
      <c r="H55" s="149"/>
      <c r="I55" s="149"/>
      <c r="J55" s="143"/>
      <c r="K55" s="197"/>
      <c r="L55" s="149"/>
      <c r="M55" s="149"/>
    </row>
    <row r="56" spans="1:13" s="144" customFormat="1">
      <c r="A56" s="344"/>
      <c r="B56" s="357"/>
      <c r="C56" s="200"/>
      <c r="D56" s="199"/>
      <c r="E56" s="143"/>
      <c r="F56" s="149"/>
      <c r="G56" s="149"/>
      <c r="H56" s="149"/>
      <c r="I56" s="149"/>
      <c r="J56" s="143"/>
      <c r="K56" s="197"/>
      <c r="L56" s="149"/>
      <c r="M56" s="149"/>
    </row>
    <row r="57" spans="1:13" s="144" customFormat="1">
      <c r="A57" s="344"/>
      <c r="B57" s="357"/>
      <c r="C57" s="201"/>
      <c r="D57" s="202"/>
      <c r="E57" s="143"/>
      <c r="F57" s="149"/>
      <c r="G57" s="149"/>
      <c r="H57" s="149"/>
      <c r="I57" s="149"/>
      <c r="J57" s="143"/>
      <c r="K57" s="197"/>
      <c r="L57" s="149"/>
      <c r="M57" s="149"/>
    </row>
    <row r="58" spans="1:13" s="144" customFormat="1">
      <c r="A58" s="344"/>
      <c r="B58" s="357"/>
      <c r="C58" s="201"/>
      <c r="D58" s="202"/>
      <c r="E58" s="143"/>
      <c r="F58" s="149"/>
      <c r="G58" s="149"/>
      <c r="H58" s="149"/>
      <c r="I58" s="149"/>
      <c r="J58" s="143"/>
      <c r="K58" s="197"/>
      <c r="L58" s="149"/>
      <c r="M58" s="149"/>
    </row>
    <row r="59" spans="1:13" s="144" customFormat="1">
      <c r="A59" s="344"/>
      <c r="B59" s="357"/>
      <c r="C59" s="201"/>
      <c r="D59" s="202"/>
      <c r="E59" s="143"/>
      <c r="F59" s="149"/>
      <c r="G59" s="149"/>
      <c r="H59" s="149"/>
      <c r="I59" s="149"/>
      <c r="J59" s="143"/>
      <c r="K59" s="197"/>
      <c r="L59" s="149"/>
      <c r="M59" s="149"/>
    </row>
    <row r="60" spans="1:13" s="144" customFormat="1">
      <c r="A60" s="344"/>
      <c r="B60" s="357"/>
      <c r="C60" s="201"/>
      <c r="D60" s="202"/>
      <c r="E60" s="143"/>
      <c r="F60" s="149"/>
      <c r="G60" s="149"/>
      <c r="H60" s="149"/>
      <c r="I60" s="149"/>
      <c r="J60" s="143"/>
      <c r="K60" s="197"/>
      <c r="L60" s="149"/>
      <c r="M60" s="149"/>
    </row>
    <row r="61" spans="1:13" s="144" customFormat="1">
      <c r="A61" s="344"/>
      <c r="B61" s="357"/>
      <c r="C61" s="201"/>
      <c r="D61" s="202"/>
      <c r="E61" s="143"/>
      <c r="F61" s="149"/>
      <c r="G61" s="149"/>
      <c r="H61" s="149"/>
      <c r="I61" s="149"/>
      <c r="J61" s="143"/>
      <c r="K61" s="197"/>
      <c r="L61" s="149"/>
      <c r="M61" s="149"/>
    </row>
    <row r="62" spans="1:13" s="144" customFormat="1">
      <c r="A62" s="344"/>
      <c r="B62" s="357"/>
      <c r="C62" s="201"/>
      <c r="D62" s="202"/>
      <c r="E62" s="143"/>
      <c r="F62" s="149"/>
      <c r="G62" s="149"/>
      <c r="H62" s="149"/>
      <c r="I62" s="149"/>
      <c r="J62" s="143"/>
      <c r="K62" s="197"/>
      <c r="L62" s="149"/>
      <c r="M62" s="149"/>
    </row>
    <row r="63" spans="1:13" s="144" customFormat="1">
      <c r="A63" s="344"/>
      <c r="B63" s="357"/>
      <c r="C63" s="201"/>
      <c r="D63" s="202"/>
      <c r="E63" s="149"/>
      <c r="F63" s="149"/>
      <c r="G63" s="149"/>
      <c r="H63" s="149"/>
      <c r="I63" s="149"/>
      <c r="J63" s="143"/>
      <c r="K63" s="197"/>
      <c r="L63" s="149"/>
      <c r="M63" s="149"/>
    </row>
    <row r="64" spans="1:13" s="144" customFormat="1">
      <c r="A64" s="344"/>
      <c r="B64" s="358"/>
      <c r="C64" s="201"/>
      <c r="D64" s="202"/>
      <c r="E64" s="143"/>
      <c r="F64" s="149"/>
      <c r="G64" s="149"/>
      <c r="H64" s="149"/>
      <c r="I64" s="149"/>
      <c r="J64" s="143"/>
      <c r="K64" s="197"/>
      <c r="L64" s="149"/>
      <c r="M64" s="149"/>
    </row>
    <row r="65" spans="1:13" s="144" customFormat="1">
      <c r="A65" s="344"/>
      <c r="B65" s="357" t="s">
        <v>214</v>
      </c>
      <c r="C65" s="200"/>
      <c r="D65" s="199"/>
      <c r="E65" s="143"/>
      <c r="F65" s="149"/>
      <c r="G65" s="149"/>
      <c r="H65" s="149"/>
      <c r="I65" s="149"/>
      <c r="J65" s="143"/>
      <c r="K65" s="197"/>
      <c r="L65" s="149"/>
      <c r="M65" s="149"/>
    </row>
    <row r="66" spans="1:13" s="144" customFormat="1">
      <c r="A66" s="344"/>
      <c r="B66" s="357"/>
      <c r="C66" s="200"/>
      <c r="D66" s="199"/>
      <c r="E66" s="143"/>
      <c r="F66" s="149"/>
      <c r="G66" s="149"/>
      <c r="H66" s="149"/>
      <c r="I66" s="149"/>
      <c r="J66" s="143"/>
      <c r="K66" s="197"/>
      <c r="L66" s="149"/>
      <c r="M66" s="149"/>
    </row>
    <row r="67" spans="1:13" s="144" customFormat="1">
      <c r="A67" s="344"/>
      <c r="B67" s="357"/>
      <c r="C67" s="201"/>
      <c r="D67" s="202"/>
      <c r="E67" s="143"/>
      <c r="F67" s="149"/>
      <c r="G67" s="149"/>
      <c r="H67" s="149"/>
      <c r="I67" s="149"/>
      <c r="J67" s="143"/>
      <c r="K67" s="197"/>
      <c r="L67" s="149"/>
      <c r="M67" s="149"/>
    </row>
    <row r="68" spans="1:13" s="144" customFormat="1">
      <c r="A68" s="344"/>
      <c r="B68" s="357"/>
      <c r="C68" s="201"/>
      <c r="D68" s="202"/>
      <c r="E68" s="143"/>
      <c r="F68" s="149"/>
      <c r="G68" s="149"/>
      <c r="H68" s="149"/>
      <c r="I68" s="149"/>
      <c r="J68" s="143"/>
      <c r="K68" s="197"/>
      <c r="L68" s="149"/>
      <c r="M68" s="149"/>
    </row>
    <row r="69" spans="1:13" s="144" customFormat="1">
      <c r="A69" s="344"/>
      <c r="B69" s="357"/>
      <c r="C69" s="201"/>
      <c r="D69" s="202"/>
      <c r="E69" s="143"/>
      <c r="F69" s="149"/>
      <c r="G69" s="149"/>
      <c r="H69" s="149"/>
      <c r="I69" s="149"/>
      <c r="J69" s="143"/>
      <c r="K69" s="197"/>
      <c r="L69" s="149"/>
      <c r="M69" s="149"/>
    </row>
    <row r="70" spans="1:13" s="144" customFormat="1">
      <c r="A70" s="352"/>
      <c r="B70" s="358"/>
      <c r="C70" s="155"/>
      <c r="D70" s="156"/>
      <c r="E70" s="143"/>
      <c r="F70" s="149"/>
      <c r="G70" s="149"/>
      <c r="H70" s="149"/>
      <c r="I70" s="149"/>
      <c r="J70" s="143"/>
      <c r="K70" s="197"/>
      <c r="L70" s="149"/>
      <c r="M70" s="149"/>
    </row>
    <row r="71" spans="1:13" s="144" customFormat="1">
      <c r="A71" s="198" t="s">
        <v>215</v>
      </c>
      <c r="B71" s="145"/>
      <c r="C71" s="203">
        <f>SUM(C35:C70)</f>
        <v>8325962.7512234449</v>
      </c>
      <c r="D71" s="36"/>
      <c r="E71" s="149"/>
      <c r="F71" s="149"/>
      <c r="G71" s="149"/>
      <c r="H71" s="149"/>
      <c r="I71" s="149"/>
      <c r="J71" s="143"/>
      <c r="K71" s="197"/>
      <c r="L71" s="149"/>
      <c r="M71" s="149"/>
    </row>
    <row r="72" spans="1:13" s="144" customFormat="1">
      <c r="A72" s="204" t="s">
        <v>216</v>
      </c>
      <c r="B72" s="205"/>
      <c r="C72" s="206">
        <f>C34+C71</f>
        <v>69521030.751223445</v>
      </c>
      <c r="D72" s="36"/>
      <c r="E72" s="149"/>
      <c r="F72" s="149"/>
      <c r="G72" s="149"/>
      <c r="H72" s="149"/>
      <c r="I72" s="149"/>
      <c r="J72" s="143"/>
      <c r="K72" s="197"/>
      <c r="L72" s="149"/>
      <c r="M72" s="149"/>
    </row>
    <row r="73" spans="1:13" s="144" customFormat="1">
      <c r="A73" s="207" t="s">
        <v>217</v>
      </c>
      <c r="B73" s="207"/>
      <c r="C73" s="208">
        <f>C2-C34</f>
        <v>22990932</v>
      </c>
      <c r="D73" s="156" t="s">
        <v>218</v>
      </c>
      <c r="E73" s="143"/>
      <c r="F73" s="149"/>
      <c r="G73" s="149"/>
      <c r="H73" s="149"/>
      <c r="I73" s="149"/>
      <c r="J73" s="143"/>
      <c r="K73" s="197"/>
      <c r="L73" s="149"/>
      <c r="M73" s="149"/>
    </row>
    <row r="74" spans="1:13" s="144" customFormat="1">
      <c r="A74" s="209" t="s">
        <v>219</v>
      </c>
      <c r="B74" s="209"/>
      <c r="C74" s="210">
        <f>C2-C72</f>
        <v>14664969.248776555</v>
      </c>
      <c r="D74" s="156" t="s">
        <v>220</v>
      </c>
      <c r="E74" s="149"/>
      <c r="F74" s="149"/>
      <c r="G74" s="149"/>
      <c r="H74" s="149"/>
      <c r="I74" s="149"/>
      <c r="J74" s="143"/>
      <c r="K74" s="197"/>
      <c r="L74" s="149"/>
      <c r="M74" s="149"/>
    </row>
    <row r="75" spans="1:13" s="144" customFormat="1">
      <c r="A75" s="211" t="s">
        <v>207</v>
      </c>
      <c r="B75" s="211"/>
      <c r="C75" s="212">
        <f>C34</f>
        <v>61195068</v>
      </c>
      <c r="D75" s="156"/>
      <c r="E75" s="149"/>
      <c r="F75" s="149"/>
      <c r="G75" s="149"/>
      <c r="H75" s="149"/>
      <c r="I75" s="149"/>
      <c r="J75" s="143"/>
      <c r="K75" s="197"/>
      <c r="L75" s="149"/>
      <c r="M75" s="149"/>
    </row>
    <row r="76" spans="1:13" s="144" customFormat="1">
      <c r="A76" s="214" t="s">
        <v>221</v>
      </c>
      <c r="B76" s="215"/>
      <c r="C76" s="216">
        <f>C74/C2</f>
        <v>0.17419724477676282</v>
      </c>
      <c r="D76" s="156"/>
      <c r="E76" s="149"/>
      <c r="J76" s="143"/>
      <c r="K76" s="197"/>
      <c r="L76" s="149"/>
      <c r="M76" s="149"/>
    </row>
    <row r="77" spans="1:13" s="144" customFormat="1">
      <c r="A77" s="214" t="s">
        <v>222</v>
      </c>
      <c r="B77" s="215"/>
      <c r="C77" s="216">
        <f>C73/C2</f>
        <v>0.27309685695958946</v>
      </c>
      <c r="D77" s="156"/>
      <c r="J77" s="143"/>
      <c r="K77" s="197"/>
      <c r="L77" s="149"/>
      <c r="M77" s="149"/>
    </row>
    <row r="78" spans="1:13" s="144" customFormat="1">
      <c r="A78" s="214" t="s">
        <v>223</v>
      </c>
      <c r="B78" s="215"/>
      <c r="C78" s="216">
        <f>C74/C75</f>
        <v>0.23964299294146638</v>
      </c>
      <c r="D78" s="156"/>
      <c r="J78" s="143"/>
      <c r="K78" s="197"/>
      <c r="L78" s="149"/>
      <c r="M78" s="149"/>
    </row>
    <row r="79" spans="1:13">
      <c r="A79" s="214" t="s">
        <v>224</v>
      </c>
      <c r="B79" s="215"/>
      <c r="C79" s="216">
        <f>C74/C73</f>
        <v>0.63785884142393856</v>
      </c>
      <c r="D79" s="156"/>
      <c r="F79" s="144"/>
      <c r="G79" s="144"/>
      <c r="H79" s="144"/>
      <c r="I79" s="144"/>
      <c r="J79" s="143"/>
      <c r="K79" s="197"/>
      <c r="L79" s="149"/>
      <c r="M79" s="149"/>
    </row>
    <row r="80" spans="1:13">
      <c r="A80" s="214" t="s">
        <v>179</v>
      </c>
      <c r="B80" s="215"/>
      <c r="C80" s="217">
        <f>C72/C73</f>
        <v>3.0238456949558827</v>
      </c>
      <c r="D80" s="156"/>
      <c r="F80" s="144"/>
      <c r="G80" s="144"/>
      <c r="H80" s="144"/>
      <c r="I80" s="144"/>
      <c r="J80" s="143"/>
      <c r="K80" s="197"/>
      <c r="L80" s="149"/>
      <c r="M80" s="149"/>
    </row>
    <row r="81" spans="1:13">
      <c r="A81" s="214" t="s">
        <v>225</v>
      </c>
      <c r="B81" s="218"/>
      <c r="C81" s="218">
        <f>C75/C2</f>
        <v>0.72690314304041048</v>
      </c>
      <c r="D81" s="9"/>
      <c r="F81" s="144"/>
      <c r="G81" s="144"/>
      <c r="H81" s="144"/>
      <c r="I81" s="144"/>
      <c r="J81" s="143"/>
      <c r="K81" s="197"/>
      <c r="L81" s="149"/>
      <c r="M81" s="149"/>
    </row>
    <row r="82" spans="1:13">
      <c r="A82" s="214" t="s">
        <v>226</v>
      </c>
      <c r="B82" s="218"/>
      <c r="C82" s="218">
        <f>C71/C2</f>
        <v>9.8899612182826654E-2</v>
      </c>
      <c r="D82" s="9"/>
      <c r="F82" s="144"/>
      <c r="G82" s="144"/>
      <c r="H82" s="144"/>
      <c r="I82" s="144"/>
      <c r="J82" s="149"/>
      <c r="K82" s="213"/>
      <c r="L82" s="149"/>
      <c r="M82" s="149"/>
    </row>
    <row r="83" spans="1:13">
      <c r="A83" s="214" t="s">
        <v>227</v>
      </c>
      <c r="B83" s="218"/>
      <c r="C83" s="218">
        <f>C72/C2</f>
        <v>0.82580275522323721</v>
      </c>
      <c r="D83" s="9"/>
      <c r="F83" s="144"/>
      <c r="G83" s="144"/>
      <c r="H83" s="144"/>
      <c r="I83" s="144"/>
      <c r="J83" s="149"/>
      <c r="K83" s="213"/>
      <c r="L83" s="149"/>
      <c r="M83" s="149"/>
    </row>
    <row r="84" spans="1:13">
      <c r="A84" s="214" t="s">
        <v>228</v>
      </c>
      <c r="B84" s="218"/>
      <c r="C84" s="218">
        <f>SUM(C35:C44)/C71</f>
        <v>0.47675455988573007</v>
      </c>
      <c r="D84" s="9"/>
      <c r="F84" s="144"/>
      <c r="G84" s="144"/>
      <c r="H84" s="144"/>
      <c r="I84" s="144"/>
      <c r="J84" s="149"/>
      <c r="K84" s="213"/>
      <c r="L84" s="149"/>
      <c r="M84" s="149"/>
    </row>
    <row r="85" spans="1:13">
      <c r="A85" s="214" t="s">
        <v>229</v>
      </c>
      <c r="B85" s="218"/>
      <c r="C85" s="218">
        <f>SUM(C46:C49)/C71</f>
        <v>0.44103364101760834</v>
      </c>
      <c r="D85" s="9"/>
    </row>
    <row r="86" spans="1:13">
      <c r="A86" s="214" t="s">
        <v>230</v>
      </c>
      <c r="B86" s="218"/>
      <c r="C86" s="218">
        <f>SUM(C65:C70)/C71</f>
        <v>0</v>
      </c>
      <c r="D86" s="9"/>
    </row>
  </sheetData>
  <mergeCells count="11">
    <mergeCell ref="A35:A45"/>
    <mergeCell ref="A46:A70"/>
    <mergeCell ref="B46:B49"/>
    <mergeCell ref="B50:B64"/>
    <mergeCell ref="B65:B70"/>
    <mergeCell ref="A1:D1"/>
    <mergeCell ref="F1:M1"/>
    <mergeCell ref="A3:A5"/>
    <mergeCell ref="A7:A8"/>
    <mergeCell ref="A23:A27"/>
    <mergeCell ref="A28:A3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D92FA-8795-45F2-81CE-560338824B58}">
  <dimension ref="A1:CG19"/>
  <sheetViews>
    <sheetView workbookViewId="0">
      <pane xSplit="1" topLeftCell="AM1" activePane="topRight" state="frozen"/>
      <selection activeCell="C46" sqref="C46:C48"/>
      <selection pane="topRight" activeCell="AW6" sqref="AW6"/>
    </sheetView>
  </sheetViews>
  <sheetFormatPr defaultRowHeight="14.5"/>
  <cols>
    <col min="4" max="4" width="19.36328125" customWidth="1"/>
    <col min="6" max="6" width="12.6328125" customWidth="1"/>
    <col min="7" max="7" width="13" customWidth="1"/>
    <col min="8" max="8" width="12.6328125" customWidth="1"/>
    <col min="9" max="9" width="15.81640625" customWidth="1"/>
    <col min="10" max="10" width="14" customWidth="1"/>
    <col min="13" max="13" width="12.453125" customWidth="1"/>
    <col min="47" max="47" width="10.26953125" customWidth="1"/>
    <col min="48" max="48" width="12.453125" customWidth="1"/>
    <col min="49" max="49" width="44.36328125" customWidth="1"/>
    <col min="50" max="50" width="21.1796875" customWidth="1"/>
    <col min="51" max="51" width="12.81640625" customWidth="1"/>
    <col min="52" max="52" width="11.453125" customWidth="1"/>
  </cols>
  <sheetData>
    <row r="1" spans="1:85">
      <c r="A1" s="219" t="s">
        <v>88</v>
      </c>
      <c r="B1" s="220" t="s">
        <v>8</v>
      </c>
      <c r="C1" s="220" t="s">
        <v>9</v>
      </c>
      <c r="D1" s="221" t="s">
        <v>89</v>
      </c>
      <c r="E1" s="220" t="s">
        <v>90</v>
      </c>
      <c r="F1" s="222" t="s">
        <v>231</v>
      </c>
      <c r="G1" s="220" t="s">
        <v>91</v>
      </c>
      <c r="H1" s="220" t="s">
        <v>92</v>
      </c>
      <c r="I1" s="223" t="s">
        <v>93</v>
      </c>
      <c r="J1" s="220" t="s">
        <v>133</v>
      </c>
      <c r="K1" s="220" t="s">
        <v>95</v>
      </c>
      <c r="L1" s="220" t="s">
        <v>96</v>
      </c>
      <c r="M1" s="224" t="s">
        <v>232</v>
      </c>
      <c r="N1" s="220" t="s">
        <v>98</v>
      </c>
      <c r="O1" s="220" t="s">
        <v>99</v>
      </c>
      <c r="P1" s="375" t="s">
        <v>100</v>
      </c>
      <c r="Q1" s="372"/>
      <c r="R1" s="372"/>
      <c r="S1" s="372"/>
      <c r="T1" s="373"/>
      <c r="U1" s="376" t="s">
        <v>20</v>
      </c>
      <c r="V1" s="372"/>
      <c r="W1" s="372"/>
      <c r="X1" s="372"/>
      <c r="Y1" s="373"/>
      <c r="Z1" s="377" t="s">
        <v>101</v>
      </c>
      <c r="AA1" s="372"/>
      <c r="AB1" s="373"/>
      <c r="AC1" s="378" t="s">
        <v>102</v>
      </c>
      <c r="AD1" s="372"/>
      <c r="AE1" s="373"/>
      <c r="AF1" s="379" t="s">
        <v>103</v>
      </c>
      <c r="AG1" s="372"/>
      <c r="AH1" s="373"/>
      <c r="AI1" s="380" t="s">
        <v>104</v>
      </c>
      <c r="AJ1" s="372"/>
      <c r="AK1" s="373"/>
      <c r="AL1" s="371" t="s">
        <v>105</v>
      </c>
      <c r="AM1" s="372"/>
      <c r="AN1" s="373"/>
      <c r="AO1" s="371" t="s">
        <v>106</v>
      </c>
      <c r="AP1" s="372"/>
      <c r="AQ1" s="373"/>
      <c r="AR1" s="371" t="s">
        <v>233</v>
      </c>
      <c r="AS1" s="372"/>
      <c r="AT1" s="373"/>
      <c r="AU1" s="220" t="s">
        <v>107</v>
      </c>
      <c r="AV1" s="220" t="s">
        <v>108</v>
      </c>
      <c r="AW1" s="225" t="s">
        <v>109</v>
      </c>
      <c r="AX1" s="226" t="s">
        <v>234</v>
      </c>
      <c r="AY1" s="220" t="s">
        <v>111</v>
      </c>
      <c r="AZ1" s="227" t="s">
        <v>235</v>
      </c>
      <c r="BA1" s="374" t="s">
        <v>136</v>
      </c>
    </row>
    <row r="2" spans="1:85">
      <c r="A2" s="228"/>
      <c r="B2" s="229"/>
      <c r="C2" s="229"/>
      <c r="D2" s="230"/>
      <c r="E2" s="229"/>
      <c r="F2" s="229"/>
      <c r="G2" s="231">
        <f>SUM(G4:G19)</f>
        <v>61200000</v>
      </c>
      <c r="H2" s="231">
        <f t="shared" ref="H2:AW2" si="0">SUM(H4:H19)</f>
        <v>57300000</v>
      </c>
      <c r="I2" s="231">
        <f t="shared" si="0"/>
        <v>57300000</v>
      </c>
      <c r="J2" s="231">
        <f t="shared" si="0"/>
        <v>4100000</v>
      </c>
      <c r="K2" s="231">
        <f t="shared" si="0"/>
        <v>480</v>
      </c>
      <c r="L2" s="231">
        <f t="shared" si="0"/>
        <v>480</v>
      </c>
      <c r="M2" s="231">
        <f t="shared" si="0"/>
        <v>0</v>
      </c>
      <c r="N2" s="231">
        <f t="shared" si="0"/>
        <v>0</v>
      </c>
      <c r="O2" s="231">
        <f t="shared" si="0"/>
        <v>30</v>
      </c>
      <c r="P2" s="231">
        <f t="shared" si="0"/>
        <v>12024</v>
      </c>
      <c r="Q2" s="231">
        <f t="shared" si="0"/>
        <v>14194</v>
      </c>
      <c r="R2" s="231">
        <f t="shared" si="0"/>
        <v>2995</v>
      </c>
      <c r="S2" s="231">
        <f t="shared" si="0"/>
        <v>63500</v>
      </c>
      <c r="T2" s="231">
        <f t="shared" si="0"/>
        <v>11567500</v>
      </c>
      <c r="U2" s="231">
        <f t="shared" si="0"/>
        <v>0</v>
      </c>
      <c r="V2" s="231">
        <f t="shared" si="0"/>
        <v>0</v>
      </c>
      <c r="W2" s="231">
        <f t="shared" si="0"/>
        <v>28</v>
      </c>
      <c r="X2" s="231">
        <f t="shared" si="0"/>
        <v>1800000</v>
      </c>
      <c r="Y2" s="231">
        <f t="shared" si="0"/>
        <v>3360000</v>
      </c>
      <c r="Z2" s="231">
        <f t="shared" si="0"/>
        <v>0</v>
      </c>
      <c r="AA2" s="231">
        <f t="shared" si="0"/>
        <v>0</v>
      </c>
      <c r="AB2" s="231">
        <f t="shared" si="0"/>
        <v>0</v>
      </c>
      <c r="AC2" s="231">
        <f t="shared" si="0"/>
        <v>11</v>
      </c>
      <c r="AD2" s="231">
        <f t="shared" si="0"/>
        <v>1500000</v>
      </c>
      <c r="AE2" s="231">
        <f t="shared" si="0"/>
        <v>1100000</v>
      </c>
      <c r="AF2" s="231">
        <f t="shared" si="0"/>
        <v>30</v>
      </c>
      <c r="AG2" s="231">
        <f t="shared" si="0"/>
        <v>900000</v>
      </c>
      <c r="AH2" s="231">
        <f t="shared" si="0"/>
        <v>1800000</v>
      </c>
      <c r="AI2" s="231">
        <f t="shared" si="0"/>
        <v>2</v>
      </c>
      <c r="AJ2" s="231">
        <f t="shared" si="0"/>
        <v>450000</v>
      </c>
      <c r="AK2" s="231">
        <f t="shared" si="0"/>
        <v>300000</v>
      </c>
      <c r="AL2" s="231">
        <f t="shared" si="0"/>
        <v>0</v>
      </c>
      <c r="AM2" s="231">
        <f t="shared" si="0"/>
        <v>0</v>
      </c>
      <c r="AN2" s="231">
        <f t="shared" si="0"/>
        <v>0</v>
      </c>
      <c r="AO2" s="231">
        <f t="shared" si="0"/>
        <v>30</v>
      </c>
      <c r="AP2" s="231">
        <f t="shared" si="0"/>
        <v>1800000</v>
      </c>
      <c r="AQ2" s="231">
        <f t="shared" si="0"/>
        <v>3600000</v>
      </c>
      <c r="AR2" s="231">
        <f t="shared" si="0"/>
        <v>2</v>
      </c>
      <c r="AS2" s="231">
        <f t="shared" si="0"/>
        <v>8000</v>
      </c>
      <c r="AT2" s="231">
        <f t="shared" si="0"/>
        <v>8000</v>
      </c>
      <c r="AU2" s="231">
        <f>SUM(AU4:AU19)</f>
        <v>21735500</v>
      </c>
      <c r="AV2" s="231">
        <f>SUM(AV4:AV19)</f>
        <v>83135500</v>
      </c>
      <c r="AW2" s="231">
        <f t="shared" si="0"/>
        <v>0</v>
      </c>
      <c r="AX2" s="231">
        <f>SUM(AX4:AX19)</f>
        <v>87126000</v>
      </c>
      <c r="AY2" s="229"/>
      <c r="AZ2" s="232"/>
      <c r="BA2" s="374"/>
    </row>
    <row r="3" spans="1:85">
      <c r="A3" s="233"/>
      <c r="B3" s="233"/>
      <c r="C3" s="233"/>
      <c r="D3" s="234"/>
      <c r="E3" s="233"/>
      <c r="F3" s="233"/>
      <c r="G3" s="233"/>
      <c r="H3" s="233"/>
      <c r="I3" s="235"/>
      <c r="J3" s="233"/>
      <c r="K3" s="233"/>
      <c r="L3" s="233"/>
      <c r="M3" s="236" t="s">
        <v>236</v>
      </c>
      <c r="N3" s="233" t="s">
        <v>237</v>
      </c>
      <c r="O3" s="233"/>
      <c r="P3" s="237" t="s">
        <v>121</v>
      </c>
      <c r="Q3" s="237" t="s">
        <v>122</v>
      </c>
      <c r="R3" s="233" t="s">
        <v>123</v>
      </c>
      <c r="S3" s="233" t="s">
        <v>124</v>
      </c>
      <c r="T3" s="238" t="s">
        <v>125</v>
      </c>
      <c r="U3" s="237" t="s">
        <v>121</v>
      </c>
      <c r="V3" s="237" t="s">
        <v>126</v>
      </c>
      <c r="W3" s="233" t="s">
        <v>123</v>
      </c>
      <c r="X3" s="233" t="s">
        <v>124</v>
      </c>
      <c r="Y3" s="237" t="s">
        <v>125</v>
      </c>
      <c r="Z3" s="239" t="s">
        <v>123</v>
      </c>
      <c r="AA3" s="233" t="s">
        <v>124</v>
      </c>
      <c r="AB3" s="238" t="s">
        <v>125</v>
      </c>
      <c r="AC3" s="239" t="s">
        <v>123</v>
      </c>
      <c r="AD3" s="233" t="s">
        <v>124</v>
      </c>
      <c r="AE3" s="238" t="s">
        <v>125</v>
      </c>
      <c r="AF3" s="233" t="s">
        <v>123</v>
      </c>
      <c r="AG3" s="233" t="s">
        <v>124</v>
      </c>
      <c r="AH3" s="238" t="s">
        <v>125</v>
      </c>
      <c r="AI3" s="233" t="s">
        <v>123</v>
      </c>
      <c r="AJ3" s="233" t="s">
        <v>124</v>
      </c>
      <c r="AK3" s="238" t="s">
        <v>125</v>
      </c>
      <c r="AL3" s="233" t="s">
        <v>123</v>
      </c>
      <c r="AM3" s="233" t="s">
        <v>124</v>
      </c>
      <c r="AN3" s="238" t="s">
        <v>125</v>
      </c>
      <c r="AO3" s="233" t="s">
        <v>123</v>
      </c>
      <c r="AP3" s="233" t="s">
        <v>124</v>
      </c>
      <c r="AQ3" s="238" t="s">
        <v>125</v>
      </c>
      <c r="AR3" s="238" t="s">
        <v>123</v>
      </c>
      <c r="AS3" s="238" t="s">
        <v>124</v>
      </c>
      <c r="AT3" s="238" t="s">
        <v>125</v>
      </c>
      <c r="AU3" s="233"/>
      <c r="AV3" s="240"/>
      <c r="AW3" s="233"/>
      <c r="AX3" s="241"/>
      <c r="AY3" s="242">
        <f>AX3-AV3</f>
        <v>0</v>
      </c>
      <c r="AZ3" s="243"/>
      <c r="BA3" s="244"/>
    </row>
    <row r="4" spans="1:85" ht="19.5" customHeight="1">
      <c r="A4" s="311" t="s">
        <v>248</v>
      </c>
      <c r="B4" s="312" t="s">
        <v>144</v>
      </c>
      <c r="C4" s="313">
        <v>0</v>
      </c>
      <c r="D4" s="314" t="s">
        <v>238</v>
      </c>
      <c r="E4" s="313">
        <v>1</v>
      </c>
      <c r="F4" s="315"/>
      <c r="G4" s="315"/>
      <c r="H4" s="315"/>
      <c r="I4" s="315"/>
      <c r="J4" s="315"/>
      <c r="K4" s="313">
        <v>30</v>
      </c>
      <c r="L4" s="313">
        <v>30</v>
      </c>
      <c r="M4" s="316"/>
      <c r="N4" s="317"/>
      <c r="O4" s="318"/>
      <c r="P4" s="313"/>
      <c r="Q4" s="313"/>
      <c r="R4" s="313">
        <v>825</v>
      </c>
      <c r="S4" s="317">
        <v>3500</v>
      </c>
      <c r="T4" s="319">
        <f t="shared" ref="T4:T19" si="1">R4*S4</f>
        <v>2887500</v>
      </c>
      <c r="U4" s="313"/>
      <c r="V4" s="313"/>
      <c r="W4" s="318"/>
      <c r="X4" s="313"/>
      <c r="Y4" s="313"/>
      <c r="Z4" s="318"/>
      <c r="AA4" s="313"/>
      <c r="AB4" s="313"/>
      <c r="AC4" s="312"/>
      <c r="AD4" s="313"/>
      <c r="AE4" s="313"/>
      <c r="AF4" s="313"/>
      <c r="AG4" s="313"/>
      <c r="AH4" s="313"/>
      <c r="AI4" s="313"/>
      <c r="AJ4" s="313"/>
      <c r="AK4" s="313"/>
      <c r="AL4" s="318"/>
      <c r="AM4" s="313"/>
      <c r="AN4" s="320"/>
      <c r="AO4" s="313"/>
      <c r="AP4" s="313"/>
      <c r="AQ4" s="314"/>
      <c r="AR4" s="314"/>
      <c r="AS4" s="314"/>
      <c r="AT4" s="314"/>
      <c r="AU4" s="321">
        <f t="shared" ref="AU4:AU19" si="2">(SUM(T4,Y4,AB4,AE4,AH4,AK4,AN4,AQ4,AT4))</f>
        <v>2887500</v>
      </c>
      <c r="AV4" s="322">
        <f t="shared" ref="AV4:AV19" si="3">AU4+I4*E4+J4+M4+N4</f>
        <v>2887500</v>
      </c>
      <c r="AW4" s="313" t="s">
        <v>284</v>
      </c>
      <c r="AX4" s="323">
        <f>2587000+300000</f>
        <v>2887000</v>
      </c>
      <c r="AY4" s="324" t="str">
        <f t="shared" ref="AY4:AY19" si="4">IF(AND(AV4&gt;0,AX4=0),"Chưa TT",IF(AX4-AV4&gt;0,"Thừa",IF(AND(AV4=0,AX4=0),"Trống",IF(AND(AX4&gt;0,AV4=0),"Đóng cọc",IF(AX4-AV4&lt;0,"Thiếu",IF(AX4-AV4=0,"Đủ",0))))))</f>
        <v>Thiếu</v>
      </c>
      <c r="AZ4" s="325">
        <f t="shared" ref="AZ4:AZ19" si="5">AX4-AV4</f>
        <v>-500</v>
      </c>
      <c r="BA4" s="326"/>
      <c r="BB4" s="317"/>
      <c r="BC4" s="313"/>
      <c r="BD4" s="313"/>
      <c r="BE4" s="313"/>
      <c r="BF4" s="313"/>
      <c r="BG4" s="313"/>
      <c r="BH4" s="313"/>
      <c r="BI4" s="313"/>
      <c r="BJ4" s="313"/>
      <c r="BK4" s="313"/>
      <c r="BL4" s="317"/>
      <c r="BM4" s="313"/>
      <c r="BN4" s="313"/>
      <c r="BO4" s="313"/>
      <c r="BP4" s="313"/>
      <c r="BQ4" s="313"/>
      <c r="BR4" s="313"/>
      <c r="BS4" s="327"/>
      <c r="BT4" s="313"/>
      <c r="BU4" s="327"/>
      <c r="BV4" s="313"/>
      <c r="BW4" s="313"/>
      <c r="BX4" s="313"/>
      <c r="BY4" s="313"/>
      <c r="BZ4" s="313"/>
      <c r="CA4" s="313"/>
      <c r="CB4" s="313"/>
      <c r="CC4" s="313"/>
      <c r="CD4" s="313"/>
      <c r="CE4" s="313"/>
      <c r="CF4" s="313"/>
      <c r="CG4" s="313"/>
    </row>
    <row r="5" spans="1:85" ht="19.5" customHeight="1">
      <c r="A5" s="328" t="s">
        <v>37</v>
      </c>
      <c r="B5" s="328" t="s">
        <v>144</v>
      </c>
      <c r="C5" s="314">
        <v>101</v>
      </c>
      <c r="D5" s="314" t="s">
        <v>238</v>
      </c>
      <c r="E5" s="314">
        <v>1</v>
      </c>
      <c r="F5" s="329">
        <v>3500000</v>
      </c>
      <c r="G5" s="330">
        <v>3600000</v>
      </c>
      <c r="H5" s="329">
        <v>3500000</v>
      </c>
      <c r="I5" s="329">
        <v>3500000</v>
      </c>
      <c r="J5" s="329"/>
      <c r="K5" s="314">
        <v>30</v>
      </c>
      <c r="L5" s="314">
        <v>30</v>
      </c>
      <c r="M5" s="331"/>
      <c r="N5" s="319"/>
      <c r="O5" s="332">
        <v>2</v>
      </c>
      <c r="P5" s="314">
        <v>623</v>
      </c>
      <c r="Q5" s="314">
        <v>728</v>
      </c>
      <c r="R5" s="314">
        <f t="shared" ref="R5:R19" si="6">Q5-P5</f>
        <v>105</v>
      </c>
      <c r="S5" s="319">
        <v>4000</v>
      </c>
      <c r="T5" s="319">
        <f t="shared" si="1"/>
        <v>420000</v>
      </c>
      <c r="U5" s="314"/>
      <c r="V5" s="314"/>
      <c r="W5" s="332">
        <v>2</v>
      </c>
      <c r="X5" s="314">
        <v>120000</v>
      </c>
      <c r="Y5" s="314">
        <f t="shared" ref="Y5:Y19" si="7">W5*X5</f>
        <v>240000</v>
      </c>
      <c r="Z5" s="332"/>
      <c r="AA5" s="314"/>
      <c r="AB5" s="314"/>
      <c r="AC5" s="328"/>
      <c r="AD5" s="314">
        <v>100000</v>
      </c>
      <c r="AE5" s="314">
        <f t="shared" ref="AE5:AE19" si="8">AC5*AD5</f>
        <v>0</v>
      </c>
      <c r="AF5" s="314">
        <v>2</v>
      </c>
      <c r="AG5" s="314">
        <v>60000</v>
      </c>
      <c r="AH5" s="314">
        <f t="shared" ref="AH5:AH19" si="9">AF5*AG5</f>
        <v>120000</v>
      </c>
      <c r="AI5" s="314"/>
      <c r="AJ5" s="314"/>
      <c r="AK5" s="314"/>
      <c r="AL5" s="332"/>
      <c r="AM5" s="314"/>
      <c r="AN5" s="333"/>
      <c r="AO5" s="314">
        <v>2</v>
      </c>
      <c r="AP5" s="314">
        <v>120000</v>
      </c>
      <c r="AQ5" s="314">
        <f t="shared" ref="AQ5:AQ19" si="10">AO5*AP5</f>
        <v>240000</v>
      </c>
      <c r="AR5" s="313"/>
      <c r="AS5" s="313"/>
      <c r="AT5" s="313">
        <f t="shared" ref="AT5:AT19" si="11">AR5*AS5</f>
        <v>0</v>
      </c>
      <c r="AU5" s="321">
        <f t="shared" si="2"/>
        <v>1020000</v>
      </c>
      <c r="AV5" s="322">
        <f t="shared" si="3"/>
        <v>4520000</v>
      </c>
      <c r="AW5" s="314"/>
      <c r="AX5" s="334">
        <f>420000+4100000</f>
        <v>4520000</v>
      </c>
      <c r="AY5" s="324" t="str">
        <f t="shared" si="4"/>
        <v>Đủ</v>
      </c>
      <c r="AZ5" s="325">
        <f t="shared" si="5"/>
        <v>0</v>
      </c>
      <c r="BA5" s="335"/>
      <c r="BB5" s="319"/>
      <c r="BC5" s="314"/>
      <c r="BD5" s="314"/>
      <c r="BE5" s="314"/>
      <c r="BF5" s="314"/>
      <c r="BG5" s="314"/>
      <c r="BH5" s="314"/>
      <c r="BI5" s="314"/>
      <c r="BJ5" s="314"/>
      <c r="BK5" s="314"/>
      <c r="BL5" s="319"/>
      <c r="BM5" s="314"/>
      <c r="BN5" s="314"/>
      <c r="BO5" s="314"/>
      <c r="BP5" s="314"/>
      <c r="BQ5" s="314"/>
      <c r="BR5" s="314"/>
      <c r="BS5" s="336"/>
      <c r="BT5" s="314"/>
      <c r="BU5" s="336"/>
      <c r="BV5" s="314"/>
      <c r="BW5" s="314"/>
      <c r="BX5" s="314"/>
      <c r="BY5" s="314"/>
      <c r="BZ5" s="314"/>
      <c r="CA5" s="314"/>
      <c r="CB5" s="314"/>
      <c r="CC5" s="314"/>
      <c r="CD5" s="314"/>
      <c r="CE5" s="314"/>
      <c r="CF5" s="314"/>
      <c r="CG5" s="314"/>
    </row>
    <row r="6" spans="1:85" ht="17.25" customHeight="1">
      <c r="A6" s="328" t="s">
        <v>38</v>
      </c>
      <c r="B6" s="328" t="s">
        <v>144</v>
      </c>
      <c r="C6" s="314">
        <v>201</v>
      </c>
      <c r="D6" s="314" t="s">
        <v>238</v>
      </c>
      <c r="E6" s="314">
        <v>1</v>
      </c>
      <c r="F6" s="319">
        <v>4100000</v>
      </c>
      <c r="G6" s="330">
        <v>4200000</v>
      </c>
      <c r="H6" s="319">
        <v>4100000</v>
      </c>
      <c r="I6" s="319">
        <v>4100000</v>
      </c>
      <c r="J6" s="319"/>
      <c r="K6" s="314">
        <v>30</v>
      </c>
      <c r="L6" s="314">
        <v>30</v>
      </c>
      <c r="M6" s="331"/>
      <c r="N6" s="319"/>
      <c r="O6" s="328">
        <v>2</v>
      </c>
      <c r="P6" s="314">
        <v>509</v>
      </c>
      <c r="Q6" s="314">
        <v>655</v>
      </c>
      <c r="R6" s="314">
        <f t="shared" si="6"/>
        <v>146</v>
      </c>
      <c r="S6" s="319">
        <v>4000</v>
      </c>
      <c r="T6" s="319">
        <f t="shared" si="1"/>
        <v>584000</v>
      </c>
      <c r="U6" s="314"/>
      <c r="V6" s="314"/>
      <c r="W6" s="332">
        <v>2</v>
      </c>
      <c r="X6" s="314">
        <v>120000</v>
      </c>
      <c r="Y6" s="314">
        <f t="shared" si="7"/>
        <v>240000</v>
      </c>
      <c r="Z6" s="328"/>
      <c r="AA6" s="314"/>
      <c r="AB6" s="314"/>
      <c r="AC6" s="314">
        <v>1</v>
      </c>
      <c r="AD6" s="314">
        <v>100000</v>
      </c>
      <c r="AE6" s="314">
        <f t="shared" si="8"/>
        <v>100000</v>
      </c>
      <c r="AF6" s="314">
        <v>2</v>
      </c>
      <c r="AG6" s="314">
        <v>60000</v>
      </c>
      <c r="AH6" s="314">
        <f t="shared" si="9"/>
        <v>120000</v>
      </c>
      <c r="AI6" s="314">
        <v>1</v>
      </c>
      <c r="AJ6" s="314">
        <v>150000</v>
      </c>
      <c r="AK6" s="314">
        <f>AI6*AJ6</f>
        <v>150000</v>
      </c>
      <c r="AL6" s="328"/>
      <c r="AM6" s="314"/>
      <c r="AN6" s="333"/>
      <c r="AO6" s="314">
        <v>2</v>
      </c>
      <c r="AP6" s="314">
        <v>120000</v>
      </c>
      <c r="AQ6" s="319">
        <f t="shared" si="10"/>
        <v>240000</v>
      </c>
      <c r="AR6" s="317"/>
      <c r="AS6" s="317"/>
      <c r="AT6" s="313">
        <f t="shared" si="11"/>
        <v>0</v>
      </c>
      <c r="AU6" s="321">
        <f t="shared" si="2"/>
        <v>1434000</v>
      </c>
      <c r="AV6" s="322">
        <f t="shared" si="3"/>
        <v>5534000</v>
      </c>
      <c r="AW6" s="314"/>
      <c r="AX6" s="334">
        <v>5534000</v>
      </c>
      <c r="AY6" s="324" t="str">
        <f t="shared" si="4"/>
        <v>Đủ</v>
      </c>
      <c r="AZ6" s="325">
        <f t="shared" si="5"/>
        <v>0</v>
      </c>
      <c r="BA6" s="335"/>
      <c r="BB6" s="319"/>
      <c r="BC6" s="314"/>
      <c r="BD6" s="314"/>
      <c r="BE6" s="314"/>
      <c r="BF6" s="314"/>
      <c r="BG6" s="314"/>
      <c r="BH6" s="314"/>
      <c r="BI6" s="314"/>
      <c r="BJ6" s="314"/>
      <c r="BK6" s="314"/>
      <c r="BL6" s="319"/>
      <c r="BM6" s="314"/>
      <c r="BN6" s="314"/>
      <c r="BO6" s="314"/>
      <c r="BP6" s="314"/>
      <c r="BQ6" s="314"/>
      <c r="BR6" s="314"/>
      <c r="BS6" s="336"/>
      <c r="BT6" s="314"/>
      <c r="BU6" s="336"/>
      <c r="BV6" s="314"/>
      <c r="BW6" s="314"/>
      <c r="BX6" s="314"/>
      <c r="BY6" s="314"/>
      <c r="BZ6" s="314"/>
      <c r="CA6" s="314">
        <v>1935</v>
      </c>
      <c r="CB6" s="314">
        <v>1967</v>
      </c>
      <c r="CC6" s="314">
        <f t="shared" ref="CC6:CC10" si="12">CB6-CA6</f>
        <v>32</v>
      </c>
      <c r="CD6" s="314">
        <v>3800</v>
      </c>
      <c r="CE6" s="314">
        <f t="shared" ref="CE6:CE10" si="13">CC6*CD6</f>
        <v>121600</v>
      </c>
      <c r="CF6" s="314"/>
      <c r="CG6" s="314">
        <f t="shared" ref="CG6:CG10" si="14">CE6/3</f>
        <v>40533.333333333336</v>
      </c>
    </row>
    <row r="7" spans="1:85" ht="17.25" customHeight="1">
      <c r="A7" s="328" t="s">
        <v>39</v>
      </c>
      <c r="B7" s="328" t="s">
        <v>144</v>
      </c>
      <c r="C7" s="314">
        <v>202</v>
      </c>
      <c r="D7" s="314" t="s">
        <v>238</v>
      </c>
      <c r="E7" s="314">
        <v>1</v>
      </c>
      <c r="F7" s="319">
        <v>3800000</v>
      </c>
      <c r="G7" s="330">
        <v>4000000</v>
      </c>
      <c r="H7" s="319">
        <v>3800000</v>
      </c>
      <c r="I7" s="319">
        <v>3800000</v>
      </c>
      <c r="J7" s="319"/>
      <c r="K7" s="314">
        <v>30</v>
      </c>
      <c r="L7" s="314">
        <v>30</v>
      </c>
      <c r="M7" s="331"/>
      <c r="N7" s="319"/>
      <c r="O7" s="328">
        <v>2</v>
      </c>
      <c r="P7" s="314">
        <v>1632</v>
      </c>
      <c r="Q7" s="314">
        <v>2024</v>
      </c>
      <c r="R7" s="314">
        <f t="shared" si="6"/>
        <v>392</v>
      </c>
      <c r="S7" s="319">
        <v>4000</v>
      </c>
      <c r="T7" s="319">
        <f t="shared" si="1"/>
        <v>1568000</v>
      </c>
      <c r="U7" s="314"/>
      <c r="V7" s="314"/>
      <c r="W7" s="332">
        <v>2</v>
      </c>
      <c r="X7" s="314">
        <v>120000</v>
      </c>
      <c r="Y7" s="314">
        <f t="shared" si="7"/>
        <v>240000</v>
      </c>
      <c r="Z7" s="328"/>
      <c r="AA7" s="314"/>
      <c r="AB7" s="314"/>
      <c r="AC7" s="314">
        <v>1</v>
      </c>
      <c r="AD7" s="314">
        <v>100000</v>
      </c>
      <c r="AE7" s="314">
        <f t="shared" si="8"/>
        <v>100000</v>
      </c>
      <c r="AF7" s="314">
        <v>2</v>
      </c>
      <c r="AG7" s="314">
        <v>60000</v>
      </c>
      <c r="AH7" s="314">
        <f t="shared" si="9"/>
        <v>120000</v>
      </c>
      <c r="AI7" s="314"/>
      <c r="AJ7" s="314"/>
      <c r="AK7" s="314"/>
      <c r="AL7" s="328"/>
      <c r="AM7" s="314"/>
      <c r="AN7" s="333">
        <f>AL7*AM7</f>
        <v>0</v>
      </c>
      <c r="AO7" s="314">
        <v>2</v>
      </c>
      <c r="AP7" s="314">
        <v>120000</v>
      </c>
      <c r="AQ7" s="319">
        <f t="shared" si="10"/>
        <v>240000</v>
      </c>
      <c r="AR7" s="317"/>
      <c r="AS7" s="317"/>
      <c r="AT7" s="313">
        <f t="shared" si="11"/>
        <v>0</v>
      </c>
      <c r="AU7" s="321">
        <f t="shared" si="2"/>
        <v>2268000</v>
      </c>
      <c r="AV7" s="322">
        <f t="shared" si="3"/>
        <v>6068000</v>
      </c>
      <c r="AW7" s="314"/>
      <c r="AX7" s="334">
        <v>6068000</v>
      </c>
      <c r="AY7" s="324" t="str">
        <f t="shared" si="4"/>
        <v>Đủ</v>
      </c>
      <c r="AZ7" s="325">
        <f t="shared" si="5"/>
        <v>0</v>
      </c>
      <c r="BA7" s="335"/>
      <c r="BB7" s="319"/>
      <c r="BC7" s="314"/>
      <c r="BD7" s="314"/>
      <c r="BE7" s="314"/>
      <c r="BF7" s="314"/>
      <c r="BG7" s="314"/>
      <c r="BH7" s="314"/>
      <c r="BI7" s="314"/>
      <c r="BJ7" s="314"/>
      <c r="BK7" s="314"/>
      <c r="BL7" s="319"/>
      <c r="BM7" s="314"/>
      <c r="BN7" s="314"/>
      <c r="BO7" s="314"/>
      <c r="BP7" s="314"/>
      <c r="BQ7" s="314"/>
      <c r="BR7" s="314"/>
      <c r="BS7" s="336"/>
      <c r="BT7" s="314"/>
      <c r="BU7" s="336"/>
      <c r="BV7" s="314"/>
      <c r="BW7" s="314"/>
      <c r="BX7" s="314"/>
      <c r="BY7" s="314"/>
      <c r="BZ7" s="314"/>
      <c r="CA7" s="314">
        <v>1935</v>
      </c>
      <c r="CB7" s="314">
        <v>1967</v>
      </c>
      <c r="CC7" s="314">
        <f t="shared" si="12"/>
        <v>32</v>
      </c>
      <c r="CD7" s="314">
        <v>3800</v>
      </c>
      <c r="CE7" s="314">
        <f t="shared" si="13"/>
        <v>121600</v>
      </c>
      <c r="CF7" s="314"/>
      <c r="CG7" s="314">
        <f t="shared" si="14"/>
        <v>40533.333333333336</v>
      </c>
    </row>
    <row r="8" spans="1:85" ht="18" customHeight="1">
      <c r="A8" s="328" t="s">
        <v>40</v>
      </c>
      <c r="B8" s="328" t="s">
        <v>144</v>
      </c>
      <c r="C8" s="314">
        <v>203</v>
      </c>
      <c r="D8" s="314" t="s">
        <v>238</v>
      </c>
      <c r="E8" s="314">
        <v>1</v>
      </c>
      <c r="F8" s="319">
        <v>4100000</v>
      </c>
      <c r="G8" s="330">
        <v>4300000</v>
      </c>
      <c r="H8" s="319">
        <v>4100000</v>
      </c>
      <c r="I8" s="319">
        <v>4100000</v>
      </c>
      <c r="J8" s="319">
        <v>4100000</v>
      </c>
      <c r="K8" s="314">
        <v>30</v>
      </c>
      <c r="L8" s="314">
        <v>30</v>
      </c>
      <c r="M8" s="331"/>
      <c r="N8" s="319"/>
      <c r="O8" s="328">
        <v>3</v>
      </c>
      <c r="P8" s="314">
        <v>337</v>
      </c>
      <c r="Q8" s="314">
        <v>337</v>
      </c>
      <c r="R8" s="314">
        <f t="shared" si="6"/>
        <v>0</v>
      </c>
      <c r="S8" s="319">
        <v>4000</v>
      </c>
      <c r="T8" s="319">
        <f t="shared" si="1"/>
        <v>0</v>
      </c>
      <c r="U8" s="314"/>
      <c r="V8" s="314"/>
      <c r="W8" s="332">
        <v>3</v>
      </c>
      <c r="X8" s="314">
        <v>120000</v>
      </c>
      <c r="Y8" s="314">
        <f t="shared" si="7"/>
        <v>360000</v>
      </c>
      <c r="Z8" s="328"/>
      <c r="AA8" s="314"/>
      <c r="AB8" s="314"/>
      <c r="AC8" s="314">
        <v>1</v>
      </c>
      <c r="AD8" s="314">
        <v>100000</v>
      </c>
      <c r="AE8" s="314">
        <f t="shared" si="8"/>
        <v>100000</v>
      </c>
      <c r="AF8" s="314">
        <v>3</v>
      </c>
      <c r="AG8" s="314">
        <v>60000</v>
      </c>
      <c r="AH8" s="314">
        <f t="shared" si="9"/>
        <v>180000</v>
      </c>
      <c r="AI8" s="314"/>
      <c r="AJ8" s="314"/>
      <c r="AK8" s="314"/>
      <c r="AL8" s="328"/>
      <c r="AM8" s="314"/>
      <c r="AN8" s="333"/>
      <c r="AO8" s="314">
        <v>3</v>
      </c>
      <c r="AP8" s="314">
        <v>120000</v>
      </c>
      <c r="AQ8" s="319">
        <f t="shared" si="10"/>
        <v>360000</v>
      </c>
      <c r="AR8" s="317"/>
      <c r="AS8" s="317"/>
      <c r="AT8" s="313">
        <f t="shared" si="11"/>
        <v>0</v>
      </c>
      <c r="AU8" s="321">
        <f t="shared" si="2"/>
        <v>1000000</v>
      </c>
      <c r="AV8" s="322">
        <f t="shared" si="3"/>
        <v>9200000</v>
      </c>
      <c r="AW8" s="314" t="s">
        <v>304</v>
      </c>
      <c r="AX8" s="334">
        <f>4100000+5100000</f>
        <v>9200000</v>
      </c>
      <c r="AY8" s="324" t="str">
        <f t="shared" si="4"/>
        <v>Đủ</v>
      </c>
      <c r="AZ8" s="325">
        <f t="shared" si="5"/>
        <v>0</v>
      </c>
      <c r="BA8" s="381">
        <v>46235</v>
      </c>
      <c r="BB8" s="319" t="s">
        <v>305</v>
      </c>
      <c r="BC8" s="382">
        <v>46629</v>
      </c>
      <c r="BD8" s="314"/>
      <c r="BE8" s="314"/>
      <c r="BF8" s="314"/>
      <c r="BG8" s="314"/>
      <c r="BH8" s="314"/>
      <c r="BI8" s="314"/>
      <c r="BJ8" s="314"/>
      <c r="BK8" s="314"/>
      <c r="BL8" s="319"/>
      <c r="BM8" s="314"/>
      <c r="BN8" s="314"/>
      <c r="BO8" s="314"/>
      <c r="BP8" s="314"/>
      <c r="BQ8" s="314"/>
      <c r="BR8" s="314"/>
      <c r="BS8" s="336"/>
      <c r="BT8" s="314"/>
      <c r="BU8" s="336"/>
      <c r="BV8" s="314"/>
      <c r="BW8" s="314"/>
      <c r="BX8" s="314"/>
      <c r="BY8" s="314"/>
      <c r="BZ8" s="314"/>
      <c r="CA8" s="314">
        <v>144</v>
      </c>
      <c r="CB8" s="314">
        <v>209</v>
      </c>
      <c r="CC8" s="314">
        <f t="shared" si="12"/>
        <v>65</v>
      </c>
      <c r="CD8" s="314">
        <v>3800</v>
      </c>
      <c r="CE8" s="314">
        <f t="shared" si="13"/>
        <v>247000</v>
      </c>
      <c r="CF8" s="314"/>
      <c r="CG8" s="314">
        <f t="shared" si="14"/>
        <v>82333.333333333328</v>
      </c>
    </row>
    <row r="9" spans="1:85" ht="17.25" customHeight="1">
      <c r="A9" s="328" t="s">
        <v>41</v>
      </c>
      <c r="B9" s="328" t="s">
        <v>144</v>
      </c>
      <c r="C9" s="314">
        <v>301</v>
      </c>
      <c r="D9" s="314" t="s">
        <v>238</v>
      </c>
      <c r="E9" s="314">
        <v>1</v>
      </c>
      <c r="F9" s="319">
        <v>3900000</v>
      </c>
      <c r="G9" s="330">
        <v>4200000</v>
      </c>
      <c r="H9" s="319">
        <v>3900000</v>
      </c>
      <c r="I9" s="319">
        <v>3900000</v>
      </c>
      <c r="J9" s="319"/>
      <c r="K9" s="314">
        <v>30</v>
      </c>
      <c r="L9" s="314">
        <v>30</v>
      </c>
      <c r="M9" s="331"/>
      <c r="N9" s="319"/>
      <c r="O9" s="328">
        <v>1</v>
      </c>
      <c r="P9" s="314">
        <v>372</v>
      </c>
      <c r="Q9" s="314">
        <v>379</v>
      </c>
      <c r="R9" s="314">
        <f t="shared" si="6"/>
        <v>7</v>
      </c>
      <c r="S9" s="319">
        <v>4000</v>
      </c>
      <c r="T9" s="319">
        <f t="shared" si="1"/>
        <v>28000</v>
      </c>
      <c r="U9" s="314"/>
      <c r="V9" s="314"/>
      <c r="W9" s="332">
        <v>1</v>
      </c>
      <c r="X9" s="314">
        <v>120000</v>
      </c>
      <c r="Y9" s="314">
        <f t="shared" si="7"/>
        <v>120000</v>
      </c>
      <c r="Z9" s="328"/>
      <c r="AA9" s="314"/>
      <c r="AB9" s="314"/>
      <c r="AC9" s="314">
        <v>1</v>
      </c>
      <c r="AD9" s="314">
        <v>100000</v>
      </c>
      <c r="AE9" s="314">
        <f t="shared" si="8"/>
        <v>100000</v>
      </c>
      <c r="AF9" s="314">
        <v>1</v>
      </c>
      <c r="AG9" s="314">
        <v>60000</v>
      </c>
      <c r="AH9" s="314">
        <f t="shared" si="9"/>
        <v>60000</v>
      </c>
      <c r="AI9" s="314">
        <v>1</v>
      </c>
      <c r="AJ9" s="314">
        <v>150000</v>
      </c>
      <c r="AK9" s="314">
        <f t="shared" ref="AK9:AK10" si="15">AI9*AJ9</f>
        <v>150000</v>
      </c>
      <c r="AL9" s="328"/>
      <c r="AM9" s="314"/>
      <c r="AN9" s="333"/>
      <c r="AO9" s="314">
        <v>1</v>
      </c>
      <c r="AP9" s="314">
        <v>120000</v>
      </c>
      <c r="AQ9" s="319">
        <f t="shared" si="10"/>
        <v>120000</v>
      </c>
      <c r="AR9" s="317"/>
      <c r="AS9" s="317"/>
      <c r="AT9" s="313">
        <f t="shared" si="11"/>
        <v>0</v>
      </c>
      <c r="AU9" s="321">
        <f t="shared" si="2"/>
        <v>578000</v>
      </c>
      <c r="AV9" s="322">
        <f t="shared" si="3"/>
        <v>4478000</v>
      </c>
      <c r="AW9" s="314"/>
      <c r="AX9" s="334">
        <v>4478000</v>
      </c>
      <c r="AY9" s="324" t="str">
        <f t="shared" si="4"/>
        <v>Đủ</v>
      </c>
      <c r="AZ9" s="325">
        <f t="shared" si="5"/>
        <v>0</v>
      </c>
      <c r="BA9" s="335"/>
      <c r="BB9" s="319"/>
      <c r="BC9" s="314"/>
      <c r="BD9" s="314"/>
      <c r="BE9" s="314"/>
      <c r="BF9" s="314"/>
      <c r="BG9" s="314"/>
      <c r="BH9" s="314"/>
      <c r="BI9" s="314"/>
      <c r="BJ9" s="314"/>
      <c r="BK9" s="314"/>
      <c r="BL9" s="319"/>
      <c r="BM9" s="314"/>
      <c r="BN9" s="314"/>
      <c r="BO9" s="314"/>
      <c r="BP9" s="314"/>
      <c r="BQ9" s="314"/>
      <c r="BR9" s="314"/>
      <c r="BS9" s="336"/>
      <c r="BT9" s="314"/>
      <c r="BU9" s="336"/>
      <c r="BV9" s="314"/>
      <c r="BW9" s="314"/>
      <c r="BX9" s="314"/>
      <c r="BY9" s="314"/>
      <c r="BZ9" s="314"/>
      <c r="CA9" s="314">
        <v>144</v>
      </c>
      <c r="CB9" s="314">
        <v>209</v>
      </c>
      <c r="CC9" s="314">
        <f t="shared" si="12"/>
        <v>65</v>
      </c>
      <c r="CD9" s="314">
        <v>3800</v>
      </c>
      <c r="CE9" s="314">
        <f t="shared" si="13"/>
        <v>247000</v>
      </c>
      <c r="CF9" s="314"/>
      <c r="CG9" s="314">
        <f t="shared" si="14"/>
        <v>82333.333333333328</v>
      </c>
    </row>
    <row r="10" spans="1:85" ht="15.75" customHeight="1">
      <c r="A10" s="328" t="s">
        <v>42</v>
      </c>
      <c r="B10" s="328" t="s">
        <v>144</v>
      </c>
      <c r="C10" s="314">
        <v>302</v>
      </c>
      <c r="D10" s="314" t="s">
        <v>238</v>
      </c>
      <c r="E10" s="314">
        <v>1</v>
      </c>
      <c r="F10" s="329">
        <v>3800000</v>
      </c>
      <c r="G10" s="330">
        <v>4000000</v>
      </c>
      <c r="H10" s="329">
        <v>3800000</v>
      </c>
      <c r="I10" s="329">
        <v>3800000</v>
      </c>
      <c r="J10" s="337"/>
      <c r="K10" s="314">
        <v>30</v>
      </c>
      <c r="L10" s="314">
        <v>30</v>
      </c>
      <c r="M10" s="331"/>
      <c r="N10" s="319"/>
      <c r="O10" s="328">
        <v>2</v>
      </c>
      <c r="P10" s="314">
        <v>549</v>
      </c>
      <c r="Q10" s="314">
        <v>627</v>
      </c>
      <c r="R10" s="314">
        <f t="shared" si="6"/>
        <v>78</v>
      </c>
      <c r="S10" s="319">
        <v>4000</v>
      </c>
      <c r="T10" s="319">
        <f t="shared" si="1"/>
        <v>312000</v>
      </c>
      <c r="U10" s="314"/>
      <c r="V10" s="314"/>
      <c r="W10" s="332"/>
      <c r="X10" s="314">
        <v>120000</v>
      </c>
      <c r="Y10" s="314">
        <f t="shared" si="7"/>
        <v>0</v>
      </c>
      <c r="Z10" s="328"/>
      <c r="AA10" s="314"/>
      <c r="AB10" s="314"/>
      <c r="AC10" s="314">
        <v>1</v>
      </c>
      <c r="AD10" s="314">
        <v>100000</v>
      </c>
      <c r="AE10" s="314">
        <f t="shared" si="8"/>
        <v>100000</v>
      </c>
      <c r="AF10" s="314">
        <v>2</v>
      </c>
      <c r="AG10" s="314">
        <v>60000</v>
      </c>
      <c r="AH10" s="314">
        <f t="shared" si="9"/>
        <v>120000</v>
      </c>
      <c r="AI10" s="314"/>
      <c r="AJ10" s="314">
        <v>150000</v>
      </c>
      <c r="AK10" s="314">
        <f t="shared" si="15"/>
        <v>0</v>
      </c>
      <c r="AL10" s="328"/>
      <c r="AM10" s="314"/>
      <c r="AN10" s="333"/>
      <c r="AO10" s="314">
        <v>2</v>
      </c>
      <c r="AP10" s="314">
        <v>120000</v>
      </c>
      <c r="AQ10" s="319">
        <f t="shared" si="10"/>
        <v>240000</v>
      </c>
      <c r="AR10" s="317"/>
      <c r="AS10" s="317"/>
      <c r="AT10" s="313">
        <f t="shared" si="11"/>
        <v>0</v>
      </c>
      <c r="AU10" s="321">
        <f t="shared" si="2"/>
        <v>772000</v>
      </c>
      <c r="AV10" s="322">
        <f t="shared" si="3"/>
        <v>4572000</v>
      </c>
      <c r="AW10" s="333"/>
      <c r="AX10" s="334">
        <v>4572000</v>
      </c>
      <c r="AY10" s="324" t="str">
        <f t="shared" si="4"/>
        <v>Đủ</v>
      </c>
      <c r="AZ10" s="325">
        <f t="shared" si="5"/>
        <v>0</v>
      </c>
      <c r="BA10" s="335"/>
      <c r="BB10" s="319"/>
      <c r="BC10" s="314"/>
      <c r="BD10" s="314"/>
      <c r="BE10" s="314"/>
      <c r="BF10" s="314"/>
      <c r="BG10" s="314"/>
      <c r="BH10" s="314"/>
      <c r="BI10" s="314"/>
      <c r="BJ10" s="314"/>
      <c r="BK10" s="314"/>
      <c r="BL10" s="319"/>
      <c r="BM10" s="314"/>
      <c r="BN10" s="314"/>
      <c r="BO10" s="314"/>
      <c r="BP10" s="314"/>
      <c r="BQ10" s="314"/>
      <c r="BR10" s="314"/>
      <c r="BS10" s="336"/>
      <c r="BT10" s="314"/>
      <c r="BU10" s="336"/>
      <c r="BV10" s="314"/>
      <c r="BW10" s="314"/>
      <c r="BX10" s="314"/>
      <c r="BY10" s="314"/>
      <c r="BZ10" s="314"/>
      <c r="CA10" s="314">
        <v>144</v>
      </c>
      <c r="CB10" s="314">
        <v>209</v>
      </c>
      <c r="CC10" s="314">
        <f t="shared" si="12"/>
        <v>65</v>
      </c>
      <c r="CD10" s="314">
        <v>3800</v>
      </c>
      <c r="CE10" s="314">
        <f t="shared" si="13"/>
        <v>247000</v>
      </c>
      <c r="CF10" s="314"/>
      <c r="CG10" s="314">
        <f t="shared" si="14"/>
        <v>82333.333333333328</v>
      </c>
    </row>
    <row r="11" spans="1:85" ht="19.5" customHeight="1">
      <c r="A11" s="328" t="s">
        <v>43</v>
      </c>
      <c r="B11" s="328" t="s">
        <v>144</v>
      </c>
      <c r="C11" s="314">
        <v>303</v>
      </c>
      <c r="D11" s="314" t="s">
        <v>238</v>
      </c>
      <c r="E11" s="314">
        <v>1</v>
      </c>
      <c r="F11" s="329">
        <v>4000000</v>
      </c>
      <c r="G11" s="330">
        <v>4300000</v>
      </c>
      <c r="H11" s="329">
        <v>4000000</v>
      </c>
      <c r="I11" s="329">
        <v>4000000</v>
      </c>
      <c r="J11" s="337"/>
      <c r="K11" s="314">
        <v>30</v>
      </c>
      <c r="L11" s="314">
        <v>30</v>
      </c>
      <c r="M11" s="331"/>
      <c r="N11" s="319"/>
      <c r="O11" s="332">
        <v>3</v>
      </c>
      <c r="P11" s="314">
        <v>1086</v>
      </c>
      <c r="Q11" s="314">
        <v>1299</v>
      </c>
      <c r="R11" s="314">
        <f t="shared" si="6"/>
        <v>213</v>
      </c>
      <c r="S11" s="319">
        <v>4000</v>
      </c>
      <c r="T11" s="319">
        <f t="shared" si="1"/>
        <v>852000</v>
      </c>
      <c r="U11" s="314"/>
      <c r="V11" s="314"/>
      <c r="W11" s="332">
        <v>3</v>
      </c>
      <c r="X11" s="314">
        <v>120000</v>
      </c>
      <c r="Y11" s="314">
        <f t="shared" si="7"/>
        <v>360000</v>
      </c>
      <c r="Z11" s="332"/>
      <c r="AA11" s="314"/>
      <c r="AB11" s="314">
        <f t="shared" ref="AB11:AB12" si="16">Z11*AA11</f>
        <v>0</v>
      </c>
      <c r="AC11" s="328"/>
      <c r="AD11" s="314">
        <v>100000</v>
      </c>
      <c r="AE11" s="314">
        <f t="shared" si="8"/>
        <v>0</v>
      </c>
      <c r="AF11" s="314">
        <v>3</v>
      </c>
      <c r="AG11" s="314">
        <v>60000</v>
      </c>
      <c r="AH11" s="314">
        <f t="shared" si="9"/>
        <v>180000</v>
      </c>
      <c r="AI11" s="314"/>
      <c r="AJ11" s="314"/>
      <c r="AK11" s="314"/>
      <c r="AL11" s="332"/>
      <c r="AM11" s="314"/>
      <c r="AN11" s="333"/>
      <c r="AO11" s="314">
        <v>3</v>
      </c>
      <c r="AP11" s="314">
        <v>120000</v>
      </c>
      <c r="AQ11" s="314">
        <f t="shared" si="10"/>
        <v>360000</v>
      </c>
      <c r="AR11" s="313"/>
      <c r="AS11" s="313"/>
      <c r="AT11" s="313">
        <f t="shared" si="11"/>
        <v>0</v>
      </c>
      <c r="AU11" s="321">
        <f t="shared" si="2"/>
        <v>1752000</v>
      </c>
      <c r="AV11" s="322">
        <f t="shared" si="3"/>
        <v>5752000</v>
      </c>
      <c r="AW11" s="314"/>
      <c r="AX11" s="334">
        <v>5752000</v>
      </c>
      <c r="AY11" s="324" t="str">
        <f t="shared" si="4"/>
        <v>Đủ</v>
      </c>
      <c r="AZ11" s="325">
        <f t="shared" si="5"/>
        <v>0</v>
      </c>
      <c r="BA11" s="335"/>
      <c r="BB11" s="319"/>
      <c r="BC11" s="314"/>
      <c r="BD11" s="314"/>
      <c r="BE11" s="314"/>
      <c r="BF11" s="314"/>
      <c r="BG11" s="314"/>
      <c r="BH11" s="314"/>
      <c r="BI11" s="314"/>
      <c r="BJ11" s="314"/>
      <c r="BK11" s="314"/>
      <c r="BL11" s="319"/>
      <c r="BM11" s="314"/>
      <c r="BN11" s="314"/>
      <c r="BO11" s="314"/>
      <c r="BP11" s="314"/>
      <c r="BQ11" s="314"/>
      <c r="BR11" s="314"/>
      <c r="BS11" s="336"/>
      <c r="BT11" s="314"/>
      <c r="BU11" s="336"/>
      <c r="BV11" s="314"/>
      <c r="BW11" s="314"/>
      <c r="BX11" s="314"/>
      <c r="BY11" s="314"/>
      <c r="BZ11" s="314"/>
      <c r="CA11" s="314"/>
      <c r="CB11" s="314"/>
      <c r="CC11" s="314"/>
      <c r="CD11" s="314"/>
      <c r="CE11" s="314"/>
      <c r="CF11" s="314"/>
      <c r="CG11" s="314"/>
    </row>
    <row r="12" spans="1:85" ht="21.75" customHeight="1">
      <c r="A12" s="328" t="s">
        <v>44</v>
      </c>
      <c r="B12" s="328" t="s">
        <v>144</v>
      </c>
      <c r="C12" s="314">
        <v>304</v>
      </c>
      <c r="D12" s="314" t="s">
        <v>238</v>
      </c>
      <c r="E12" s="314">
        <v>1</v>
      </c>
      <c r="F12" s="329">
        <v>4100000</v>
      </c>
      <c r="G12" s="330">
        <v>4400000</v>
      </c>
      <c r="H12" s="329">
        <v>4100000</v>
      </c>
      <c r="I12" s="329">
        <v>4100000</v>
      </c>
      <c r="J12" s="337"/>
      <c r="K12" s="338">
        <v>30</v>
      </c>
      <c r="L12" s="314">
        <v>30</v>
      </c>
      <c r="M12" s="331"/>
      <c r="N12" s="319"/>
      <c r="O12" s="339">
        <v>2</v>
      </c>
      <c r="P12" s="314">
        <v>726</v>
      </c>
      <c r="Q12" s="314">
        <v>938</v>
      </c>
      <c r="R12" s="314">
        <f t="shared" si="6"/>
        <v>212</v>
      </c>
      <c r="S12" s="319">
        <v>4000</v>
      </c>
      <c r="T12" s="319">
        <f t="shared" si="1"/>
        <v>848000</v>
      </c>
      <c r="U12" s="314"/>
      <c r="V12" s="314"/>
      <c r="W12" s="332">
        <v>2</v>
      </c>
      <c r="X12" s="314">
        <v>120000</v>
      </c>
      <c r="Y12" s="314">
        <f t="shared" si="7"/>
        <v>240000</v>
      </c>
      <c r="Z12" s="339"/>
      <c r="AA12" s="314"/>
      <c r="AB12" s="314">
        <f t="shared" si="16"/>
        <v>0</v>
      </c>
      <c r="AC12" s="328">
        <v>1</v>
      </c>
      <c r="AD12" s="314">
        <v>100000</v>
      </c>
      <c r="AE12" s="314">
        <f t="shared" si="8"/>
        <v>100000</v>
      </c>
      <c r="AF12" s="314">
        <v>2</v>
      </c>
      <c r="AG12" s="314">
        <v>60000</v>
      </c>
      <c r="AH12" s="314">
        <f t="shared" si="9"/>
        <v>120000</v>
      </c>
      <c r="AI12" s="314"/>
      <c r="AJ12" s="314"/>
      <c r="AK12" s="314"/>
      <c r="AL12" s="339"/>
      <c r="AM12" s="314"/>
      <c r="AN12" s="333"/>
      <c r="AO12" s="314">
        <v>2</v>
      </c>
      <c r="AP12" s="314">
        <v>120000</v>
      </c>
      <c r="AQ12" s="314">
        <f t="shared" si="10"/>
        <v>240000</v>
      </c>
      <c r="AR12" s="313"/>
      <c r="AS12" s="313"/>
      <c r="AT12" s="313">
        <f t="shared" si="11"/>
        <v>0</v>
      </c>
      <c r="AU12" s="321">
        <f t="shared" si="2"/>
        <v>1548000</v>
      </c>
      <c r="AV12" s="322">
        <f t="shared" si="3"/>
        <v>5648000</v>
      </c>
      <c r="AW12" s="314" t="s">
        <v>306</v>
      </c>
      <c r="AX12" s="334">
        <v>5872000</v>
      </c>
      <c r="AY12" s="324" t="str">
        <f t="shared" si="4"/>
        <v>Thừa</v>
      </c>
      <c r="AZ12" s="325">
        <f t="shared" si="5"/>
        <v>224000</v>
      </c>
      <c r="BA12" s="335"/>
      <c r="BB12" s="319"/>
      <c r="BC12" s="314"/>
      <c r="BD12" s="314"/>
      <c r="BE12" s="314"/>
      <c r="BF12" s="314"/>
      <c r="BG12" s="314"/>
      <c r="BH12" s="314"/>
      <c r="BI12" s="314"/>
      <c r="BJ12" s="314"/>
      <c r="BK12" s="314"/>
      <c r="BL12" s="319"/>
      <c r="BM12" s="314"/>
      <c r="BN12" s="314"/>
      <c r="BO12" s="314"/>
      <c r="BP12" s="314"/>
      <c r="BQ12" s="314"/>
      <c r="BR12" s="314"/>
      <c r="BS12" s="336"/>
      <c r="BT12" s="314"/>
      <c r="BU12" s="336"/>
      <c r="BV12" s="314"/>
      <c r="BW12" s="314"/>
      <c r="BX12" s="314"/>
      <c r="BY12" s="314"/>
      <c r="BZ12" s="314"/>
      <c r="CA12" s="314"/>
      <c r="CB12" s="314"/>
      <c r="CC12" s="314"/>
      <c r="CD12" s="314"/>
      <c r="CE12" s="314"/>
      <c r="CF12" s="314"/>
      <c r="CG12" s="314"/>
    </row>
    <row r="13" spans="1:85" ht="21.75" customHeight="1">
      <c r="A13" s="328" t="s">
        <v>45</v>
      </c>
      <c r="B13" s="328" t="s">
        <v>144</v>
      </c>
      <c r="C13" s="314">
        <v>401</v>
      </c>
      <c r="D13" s="314" t="s">
        <v>238</v>
      </c>
      <c r="E13" s="314">
        <v>1</v>
      </c>
      <c r="F13" s="330">
        <v>3800000</v>
      </c>
      <c r="G13" s="330">
        <f>4200000+200000</f>
        <v>4400000</v>
      </c>
      <c r="H13" s="330">
        <v>3800000</v>
      </c>
      <c r="I13" s="330">
        <v>3800000</v>
      </c>
      <c r="J13" s="338"/>
      <c r="K13" s="338">
        <v>30</v>
      </c>
      <c r="L13" s="314">
        <v>30</v>
      </c>
      <c r="M13" s="331"/>
      <c r="N13" s="338"/>
      <c r="O13" s="339">
        <v>1</v>
      </c>
      <c r="P13" s="314">
        <v>1401</v>
      </c>
      <c r="Q13" s="314">
        <v>1401</v>
      </c>
      <c r="R13" s="314">
        <f t="shared" si="6"/>
        <v>0</v>
      </c>
      <c r="S13" s="319">
        <v>4000</v>
      </c>
      <c r="T13" s="319">
        <f t="shared" si="1"/>
        <v>0</v>
      </c>
      <c r="U13" s="314"/>
      <c r="V13" s="314"/>
      <c r="W13" s="332">
        <v>1</v>
      </c>
      <c r="X13" s="314">
        <v>120000</v>
      </c>
      <c r="Y13" s="314">
        <f t="shared" si="7"/>
        <v>120000</v>
      </c>
      <c r="Z13" s="339"/>
      <c r="AA13" s="314"/>
      <c r="AB13" s="314"/>
      <c r="AC13" s="328">
        <v>1</v>
      </c>
      <c r="AD13" s="314">
        <v>100000</v>
      </c>
      <c r="AE13" s="314">
        <f t="shared" si="8"/>
        <v>100000</v>
      </c>
      <c r="AF13" s="314">
        <v>1</v>
      </c>
      <c r="AG13" s="314">
        <v>60000</v>
      </c>
      <c r="AH13" s="314">
        <f t="shared" si="9"/>
        <v>60000</v>
      </c>
      <c r="AI13" s="314"/>
      <c r="AJ13" s="314"/>
      <c r="AK13" s="314"/>
      <c r="AL13" s="339"/>
      <c r="AM13" s="314"/>
      <c r="AN13" s="333"/>
      <c r="AO13" s="314">
        <v>1</v>
      </c>
      <c r="AP13" s="314">
        <v>120000</v>
      </c>
      <c r="AQ13" s="314">
        <f t="shared" si="10"/>
        <v>120000</v>
      </c>
      <c r="AR13" s="313"/>
      <c r="AS13" s="313"/>
      <c r="AT13" s="313">
        <f t="shared" si="11"/>
        <v>0</v>
      </c>
      <c r="AU13" s="321">
        <f t="shared" si="2"/>
        <v>400000</v>
      </c>
      <c r="AV13" s="322">
        <f t="shared" si="3"/>
        <v>4200000</v>
      </c>
      <c r="AW13" s="314"/>
      <c r="AX13" s="334">
        <v>4200000</v>
      </c>
      <c r="AY13" s="324" t="str">
        <f t="shared" si="4"/>
        <v>Đủ</v>
      </c>
      <c r="AZ13" s="325">
        <f t="shared" si="5"/>
        <v>0</v>
      </c>
      <c r="BA13" s="335"/>
      <c r="BB13" s="319"/>
      <c r="BC13" s="314"/>
      <c r="BD13" s="314"/>
      <c r="BE13" s="314"/>
      <c r="BF13" s="314"/>
      <c r="BG13" s="314"/>
      <c r="BH13" s="314"/>
      <c r="BI13" s="314"/>
      <c r="BJ13" s="314"/>
      <c r="BK13" s="314"/>
      <c r="BL13" s="319"/>
      <c r="BM13" s="314"/>
      <c r="BN13" s="314"/>
      <c r="BO13" s="314"/>
      <c r="BP13" s="314"/>
      <c r="BQ13" s="314"/>
      <c r="BR13" s="314"/>
      <c r="BS13" s="336"/>
      <c r="BT13" s="314"/>
      <c r="BU13" s="336"/>
      <c r="BV13" s="314"/>
      <c r="BW13" s="314"/>
      <c r="BX13" s="314"/>
      <c r="BY13" s="314"/>
      <c r="BZ13" s="314"/>
      <c r="CA13" s="314"/>
      <c r="CB13" s="314"/>
      <c r="CC13" s="314"/>
      <c r="CD13" s="314"/>
      <c r="CE13" s="314"/>
      <c r="CF13" s="314"/>
      <c r="CG13" s="314"/>
    </row>
    <row r="14" spans="1:85" ht="21.75" customHeight="1">
      <c r="A14" s="328" t="s">
        <v>46</v>
      </c>
      <c r="B14" s="328" t="s">
        <v>144</v>
      </c>
      <c r="C14" s="314">
        <v>402</v>
      </c>
      <c r="D14" s="314" t="s">
        <v>238</v>
      </c>
      <c r="E14" s="314">
        <v>1</v>
      </c>
      <c r="F14" s="330">
        <v>3900000</v>
      </c>
      <c r="G14" s="330">
        <v>4000000</v>
      </c>
      <c r="H14" s="330">
        <v>3900000</v>
      </c>
      <c r="I14" s="330">
        <v>3900000</v>
      </c>
      <c r="J14" s="338"/>
      <c r="K14" s="314">
        <v>30</v>
      </c>
      <c r="L14" s="314">
        <v>30</v>
      </c>
      <c r="M14" s="331"/>
      <c r="N14" s="319"/>
      <c r="O14" s="339">
        <v>2</v>
      </c>
      <c r="P14" s="314">
        <v>1021</v>
      </c>
      <c r="Q14" s="314">
        <v>1050</v>
      </c>
      <c r="R14" s="314">
        <f t="shared" si="6"/>
        <v>29</v>
      </c>
      <c r="S14" s="319">
        <v>4000</v>
      </c>
      <c r="T14" s="319">
        <f t="shared" si="1"/>
        <v>116000</v>
      </c>
      <c r="U14" s="314"/>
      <c r="V14" s="314"/>
      <c r="W14" s="332">
        <v>2</v>
      </c>
      <c r="X14" s="314">
        <v>120000</v>
      </c>
      <c r="Y14" s="314">
        <f t="shared" si="7"/>
        <v>240000</v>
      </c>
      <c r="Z14" s="339"/>
      <c r="AA14" s="314"/>
      <c r="AB14" s="314"/>
      <c r="AC14" s="328">
        <v>1</v>
      </c>
      <c r="AD14" s="314">
        <v>100000</v>
      </c>
      <c r="AE14" s="314">
        <f t="shared" si="8"/>
        <v>100000</v>
      </c>
      <c r="AF14" s="314">
        <v>2</v>
      </c>
      <c r="AG14" s="314">
        <v>60000</v>
      </c>
      <c r="AH14" s="314">
        <f t="shared" si="9"/>
        <v>120000</v>
      </c>
      <c r="AI14" s="314"/>
      <c r="AJ14" s="314"/>
      <c r="AK14" s="314">
        <f>AI14*AJ14</f>
        <v>0</v>
      </c>
      <c r="AL14" s="339"/>
      <c r="AM14" s="314"/>
      <c r="AN14" s="333"/>
      <c r="AO14" s="314">
        <v>2</v>
      </c>
      <c r="AP14" s="314">
        <v>120000</v>
      </c>
      <c r="AQ14" s="314">
        <f t="shared" si="10"/>
        <v>240000</v>
      </c>
      <c r="AR14" s="313"/>
      <c r="AS14" s="313"/>
      <c r="AT14" s="313">
        <f t="shared" si="11"/>
        <v>0</v>
      </c>
      <c r="AU14" s="321">
        <f t="shared" si="2"/>
        <v>816000</v>
      </c>
      <c r="AV14" s="322">
        <f t="shared" si="3"/>
        <v>4716000</v>
      </c>
      <c r="AW14" s="314"/>
      <c r="AX14" s="334">
        <f>4600000+116000</f>
        <v>4716000</v>
      </c>
      <c r="AY14" s="324" t="str">
        <f t="shared" si="4"/>
        <v>Đủ</v>
      </c>
      <c r="AZ14" s="325">
        <f t="shared" si="5"/>
        <v>0</v>
      </c>
      <c r="BA14" s="335"/>
      <c r="BB14" s="319"/>
      <c r="BC14" s="314"/>
      <c r="BD14" s="314"/>
      <c r="BE14" s="314"/>
      <c r="BF14" s="314"/>
      <c r="BG14" s="314"/>
      <c r="BH14" s="314"/>
      <c r="BI14" s="314"/>
      <c r="BJ14" s="314"/>
      <c r="BK14" s="314"/>
      <c r="BL14" s="319"/>
      <c r="BM14" s="314"/>
      <c r="BN14" s="314"/>
      <c r="BO14" s="314"/>
      <c r="BP14" s="314"/>
      <c r="BQ14" s="314"/>
      <c r="BR14" s="314"/>
      <c r="BS14" s="336"/>
      <c r="BT14" s="314"/>
      <c r="BU14" s="336"/>
      <c r="BV14" s="314"/>
      <c r="BW14" s="314"/>
      <c r="BX14" s="314"/>
      <c r="BY14" s="314"/>
      <c r="BZ14" s="314"/>
      <c r="CA14" s="314"/>
      <c r="CB14" s="314"/>
      <c r="CC14" s="314"/>
      <c r="CD14" s="314"/>
      <c r="CE14" s="314"/>
      <c r="CF14" s="314"/>
      <c r="CG14" s="314"/>
    </row>
    <row r="15" spans="1:85" ht="20.25" customHeight="1">
      <c r="A15" s="328" t="s">
        <v>47</v>
      </c>
      <c r="B15" s="328" t="s">
        <v>144</v>
      </c>
      <c r="C15" s="314">
        <v>403</v>
      </c>
      <c r="D15" s="314" t="s">
        <v>238</v>
      </c>
      <c r="E15" s="314">
        <v>1</v>
      </c>
      <c r="F15" s="330">
        <v>4200000</v>
      </c>
      <c r="G15" s="330">
        <f>4300000+200000</f>
        <v>4500000</v>
      </c>
      <c r="H15" s="330">
        <v>4200000</v>
      </c>
      <c r="I15" s="330">
        <v>4200000</v>
      </c>
      <c r="J15" s="338"/>
      <c r="K15" s="314">
        <v>30</v>
      </c>
      <c r="L15" s="314">
        <v>30</v>
      </c>
      <c r="M15" s="331"/>
      <c r="N15" s="319"/>
      <c r="O15" s="339">
        <v>2</v>
      </c>
      <c r="P15" s="314">
        <v>1099</v>
      </c>
      <c r="Q15" s="314">
        <v>1381</v>
      </c>
      <c r="R15" s="314">
        <f t="shared" si="6"/>
        <v>282</v>
      </c>
      <c r="S15" s="319">
        <v>4000</v>
      </c>
      <c r="T15" s="319">
        <f t="shared" si="1"/>
        <v>1128000</v>
      </c>
      <c r="U15" s="314"/>
      <c r="V15" s="314"/>
      <c r="W15" s="332">
        <v>2</v>
      </c>
      <c r="X15" s="314">
        <v>120000</v>
      </c>
      <c r="Y15" s="314">
        <f t="shared" si="7"/>
        <v>240000</v>
      </c>
      <c r="Z15" s="339"/>
      <c r="AA15" s="314"/>
      <c r="AB15" s="314"/>
      <c r="AC15" s="328"/>
      <c r="AD15" s="314">
        <v>100000</v>
      </c>
      <c r="AE15" s="314">
        <f t="shared" si="8"/>
        <v>0</v>
      </c>
      <c r="AF15" s="314">
        <v>2</v>
      </c>
      <c r="AG15" s="314">
        <v>60000</v>
      </c>
      <c r="AH15" s="314">
        <f t="shared" si="9"/>
        <v>120000</v>
      </c>
      <c r="AI15" s="314"/>
      <c r="AJ15" s="314"/>
      <c r="AK15" s="314"/>
      <c r="AL15" s="339"/>
      <c r="AM15" s="314"/>
      <c r="AN15" s="333"/>
      <c r="AO15" s="314">
        <v>2</v>
      </c>
      <c r="AP15" s="314">
        <v>120000</v>
      </c>
      <c r="AQ15" s="314">
        <f t="shared" si="10"/>
        <v>240000</v>
      </c>
      <c r="AR15" s="313"/>
      <c r="AS15" s="313"/>
      <c r="AT15" s="313">
        <f t="shared" si="11"/>
        <v>0</v>
      </c>
      <c r="AU15" s="321">
        <f t="shared" si="2"/>
        <v>1728000</v>
      </c>
      <c r="AV15" s="322">
        <f t="shared" si="3"/>
        <v>5928000</v>
      </c>
      <c r="AW15" s="333"/>
      <c r="AX15" s="334">
        <v>5928000</v>
      </c>
      <c r="AY15" s="324" t="str">
        <f t="shared" si="4"/>
        <v>Đủ</v>
      </c>
      <c r="AZ15" s="325">
        <f t="shared" si="5"/>
        <v>0</v>
      </c>
      <c r="BA15" s="335"/>
      <c r="BB15" s="319"/>
      <c r="BC15" s="314"/>
      <c r="BD15" s="314"/>
      <c r="BE15" s="314"/>
      <c r="BF15" s="314"/>
      <c r="BG15" s="314"/>
      <c r="BH15" s="314"/>
      <c r="BI15" s="314"/>
      <c r="BJ15" s="314"/>
      <c r="BK15" s="314"/>
      <c r="BL15" s="319"/>
      <c r="BM15" s="314"/>
      <c r="BN15" s="314"/>
      <c r="BO15" s="314"/>
      <c r="BP15" s="314"/>
      <c r="BQ15" s="314"/>
      <c r="BR15" s="314"/>
      <c r="BS15" s="336"/>
      <c r="BT15" s="314"/>
      <c r="BU15" s="336"/>
      <c r="BV15" s="314"/>
      <c r="BW15" s="314"/>
      <c r="BX15" s="314"/>
      <c r="BY15" s="314"/>
      <c r="BZ15" s="314"/>
      <c r="CA15" s="314"/>
      <c r="CB15" s="314"/>
      <c r="CC15" s="314"/>
      <c r="CD15" s="314"/>
      <c r="CE15" s="314"/>
      <c r="CF15" s="314"/>
      <c r="CG15" s="314"/>
    </row>
    <row r="16" spans="1:85" ht="21.75" customHeight="1">
      <c r="A16" s="328" t="s">
        <v>48</v>
      </c>
      <c r="B16" s="328" t="s">
        <v>144</v>
      </c>
      <c r="C16" s="314">
        <v>404</v>
      </c>
      <c r="D16" s="314" t="s">
        <v>238</v>
      </c>
      <c r="E16" s="314">
        <v>1</v>
      </c>
      <c r="F16" s="315">
        <v>4000000</v>
      </c>
      <c r="G16" s="330">
        <v>4400000</v>
      </c>
      <c r="H16" s="315">
        <v>4000000</v>
      </c>
      <c r="I16" s="315">
        <v>4000000</v>
      </c>
      <c r="J16" s="340"/>
      <c r="K16" s="314">
        <v>30</v>
      </c>
      <c r="L16" s="314">
        <v>30</v>
      </c>
      <c r="M16" s="331"/>
      <c r="N16" s="319"/>
      <c r="O16" s="339">
        <v>1</v>
      </c>
      <c r="P16" s="314">
        <v>653</v>
      </c>
      <c r="Q16" s="314">
        <v>788</v>
      </c>
      <c r="R16" s="314">
        <f t="shared" si="6"/>
        <v>135</v>
      </c>
      <c r="S16" s="319">
        <v>4000</v>
      </c>
      <c r="T16" s="319">
        <f t="shared" si="1"/>
        <v>540000</v>
      </c>
      <c r="U16" s="314"/>
      <c r="V16" s="314"/>
      <c r="W16" s="332">
        <v>1</v>
      </c>
      <c r="X16" s="314">
        <v>120000</v>
      </c>
      <c r="Y16" s="314">
        <f t="shared" si="7"/>
        <v>120000</v>
      </c>
      <c r="Z16" s="339"/>
      <c r="AA16" s="314"/>
      <c r="AB16" s="314"/>
      <c r="AC16" s="328"/>
      <c r="AD16" s="314">
        <v>100000</v>
      </c>
      <c r="AE16" s="314">
        <f t="shared" si="8"/>
        <v>0</v>
      </c>
      <c r="AF16" s="314">
        <v>1</v>
      </c>
      <c r="AG16" s="314">
        <v>60000</v>
      </c>
      <c r="AH16" s="314">
        <f t="shared" si="9"/>
        <v>60000</v>
      </c>
      <c r="AI16" s="314"/>
      <c r="AJ16" s="314"/>
      <c r="AK16" s="314"/>
      <c r="AL16" s="339"/>
      <c r="AM16" s="314"/>
      <c r="AN16" s="333"/>
      <c r="AO16" s="314">
        <v>1</v>
      </c>
      <c r="AP16" s="314">
        <v>120000</v>
      </c>
      <c r="AQ16" s="314">
        <f t="shared" si="10"/>
        <v>120000</v>
      </c>
      <c r="AR16" s="313"/>
      <c r="AS16" s="313"/>
      <c r="AT16" s="313">
        <f t="shared" si="11"/>
        <v>0</v>
      </c>
      <c r="AU16" s="321">
        <f t="shared" si="2"/>
        <v>840000</v>
      </c>
      <c r="AV16" s="322">
        <f t="shared" si="3"/>
        <v>4840000</v>
      </c>
      <c r="AW16" s="314"/>
      <c r="AX16" s="334">
        <v>4840000</v>
      </c>
      <c r="AY16" s="324" t="str">
        <f t="shared" si="4"/>
        <v>Đủ</v>
      </c>
      <c r="AZ16" s="325">
        <f t="shared" si="5"/>
        <v>0</v>
      </c>
      <c r="BA16" s="335"/>
      <c r="BB16" s="319"/>
      <c r="BC16" s="314"/>
      <c r="BD16" s="314"/>
      <c r="BE16" s="314"/>
      <c r="BF16" s="314"/>
      <c r="BG16" s="314"/>
      <c r="BH16" s="314"/>
      <c r="BI16" s="314"/>
      <c r="BJ16" s="314"/>
      <c r="BK16" s="314"/>
      <c r="BL16" s="319"/>
      <c r="BM16" s="314"/>
      <c r="BN16" s="314"/>
      <c r="BO16" s="314"/>
      <c r="BP16" s="314"/>
      <c r="BQ16" s="314"/>
      <c r="BR16" s="314"/>
      <c r="BS16" s="336"/>
      <c r="BT16" s="314"/>
      <c r="BU16" s="336"/>
      <c r="BV16" s="314"/>
      <c r="BW16" s="314"/>
      <c r="BX16" s="314"/>
      <c r="BY16" s="314"/>
      <c r="BZ16" s="314"/>
      <c r="CA16" s="314"/>
      <c r="CB16" s="314"/>
      <c r="CC16" s="314"/>
      <c r="CD16" s="314"/>
      <c r="CE16" s="314"/>
      <c r="CF16" s="314"/>
      <c r="CG16" s="314"/>
    </row>
    <row r="17" spans="1:85" ht="20.25" customHeight="1">
      <c r="A17" s="328" t="s">
        <v>49</v>
      </c>
      <c r="B17" s="328" t="s">
        <v>144</v>
      </c>
      <c r="C17" s="314">
        <v>601</v>
      </c>
      <c r="D17" s="314" t="s">
        <v>238</v>
      </c>
      <c r="E17" s="314">
        <v>1</v>
      </c>
      <c r="F17" s="315">
        <v>3600000</v>
      </c>
      <c r="G17" s="330">
        <v>4100000</v>
      </c>
      <c r="H17" s="315">
        <v>3600000</v>
      </c>
      <c r="I17" s="315">
        <v>3600000</v>
      </c>
      <c r="J17" s="340"/>
      <c r="K17" s="314">
        <v>30</v>
      </c>
      <c r="L17" s="314">
        <v>30</v>
      </c>
      <c r="M17" s="331"/>
      <c r="N17" s="319"/>
      <c r="O17" s="339">
        <v>2</v>
      </c>
      <c r="P17" s="314">
        <v>522</v>
      </c>
      <c r="Q17" s="314">
        <v>556</v>
      </c>
      <c r="R17" s="314">
        <f t="shared" si="6"/>
        <v>34</v>
      </c>
      <c r="S17" s="319">
        <v>4000</v>
      </c>
      <c r="T17" s="319">
        <f t="shared" si="1"/>
        <v>136000</v>
      </c>
      <c r="U17" s="319"/>
      <c r="V17" s="319"/>
      <c r="W17" s="341">
        <v>2</v>
      </c>
      <c r="X17" s="314">
        <v>120000</v>
      </c>
      <c r="Y17" s="314">
        <f t="shared" si="7"/>
        <v>240000</v>
      </c>
      <c r="Z17" s="339"/>
      <c r="AA17" s="314"/>
      <c r="AB17" s="314"/>
      <c r="AC17" s="328">
        <v>1</v>
      </c>
      <c r="AD17" s="314">
        <v>100000</v>
      </c>
      <c r="AE17" s="314">
        <f t="shared" si="8"/>
        <v>100000</v>
      </c>
      <c r="AF17" s="314">
        <v>2</v>
      </c>
      <c r="AG17" s="314">
        <v>60000</v>
      </c>
      <c r="AH17" s="314">
        <f t="shared" si="9"/>
        <v>120000</v>
      </c>
      <c r="AI17" s="314"/>
      <c r="AJ17" s="314"/>
      <c r="AK17" s="314"/>
      <c r="AL17" s="339"/>
      <c r="AM17" s="314"/>
      <c r="AN17" s="333"/>
      <c r="AO17" s="314">
        <v>2</v>
      </c>
      <c r="AP17" s="314">
        <v>120000</v>
      </c>
      <c r="AQ17" s="314">
        <f t="shared" si="10"/>
        <v>240000</v>
      </c>
      <c r="AR17" s="313"/>
      <c r="AS17" s="313"/>
      <c r="AT17" s="313">
        <f t="shared" si="11"/>
        <v>0</v>
      </c>
      <c r="AU17" s="321">
        <f t="shared" si="2"/>
        <v>836000</v>
      </c>
      <c r="AV17" s="322">
        <f t="shared" si="3"/>
        <v>4436000</v>
      </c>
      <c r="AW17" s="314" t="s">
        <v>307</v>
      </c>
      <c r="AX17" s="334">
        <f>3900000+4303000</f>
        <v>8203000</v>
      </c>
      <c r="AY17" s="324" t="str">
        <f t="shared" si="4"/>
        <v>Thừa</v>
      </c>
      <c r="AZ17" s="325">
        <f t="shared" si="5"/>
        <v>3767000</v>
      </c>
      <c r="BA17" s="335"/>
      <c r="BB17" s="319"/>
      <c r="BC17" s="314"/>
      <c r="BD17" s="314"/>
      <c r="BE17" s="314"/>
      <c r="BF17" s="314"/>
      <c r="BG17" s="314"/>
      <c r="BH17" s="314"/>
      <c r="BI17" s="314"/>
      <c r="BJ17" s="314"/>
      <c r="BK17" s="314"/>
      <c r="BL17" s="319"/>
      <c r="BM17" s="314"/>
      <c r="BN17" s="314"/>
      <c r="BO17" s="314"/>
      <c r="BP17" s="314"/>
      <c r="BQ17" s="314"/>
      <c r="BR17" s="314"/>
      <c r="BS17" s="336"/>
      <c r="BT17" s="314"/>
      <c r="BU17" s="336"/>
      <c r="BV17" s="314"/>
      <c r="BW17" s="314"/>
      <c r="BX17" s="314"/>
      <c r="BY17" s="314"/>
      <c r="BZ17" s="314"/>
      <c r="CA17" s="314"/>
      <c r="CB17" s="314"/>
      <c r="CC17" s="314"/>
      <c r="CD17" s="314"/>
      <c r="CE17" s="314"/>
      <c r="CF17" s="314"/>
      <c r="CG17" s="314"/>
    </row>
    <row r="18" spans="1:85" ht="18" customHeight="1">
      <c r="A18" s="328" t="s">
        <v>50</v>
      </c>
      <c r="B18" s="328" t="s">
        <v>144</v>
      </c>
      <c r="C18" s="314">
        <v>603</v>
      </c>
      <c r="D18" s="314" t="s">
        <v>238</v>
      </c>
      <c r="E18" s="314">
        <v>1</v>
      </c>
      <c r="F18" s="315">
        <v>3000000</v>
      </c>
      <c r="G18" s="330">
        <v>3300000</v>
      </c>
      <c r="H18" s="315">
        <v>3000000</v>
      </c>
      <c r="I18" s="315">
        <v>3000000</v>
      </c>
      <c r="J18" s="340"/>
      <c r="K18" s="314">
        <v>30</v>
      </c>
      <c r="L18" s="314">
        <v>30</v>
      </c>
      <c r="M18" s="331"/>
      <c r="N18" s="319"/>
      <c r="O18" s="339">
        <v>2</v>
      </c>
      <c r="P18" s="314">
        <v>328</v>
      </c>
      <c r="Q18" s="314">
        <v>425</v>
      </c>
      <c r="R18" s="314">
        <f t="shared" si="6"/>
        <v>97</v>
      </c>
      <c r="S18" s="319">
        <v>4000</v>
      </c>
      <c r="T18" s="319">
        <f t="shared" si="1"/>
        <v>388000</v>
      </c>
      <c r="U18" s="314"/>
      <c r="V18" s="314"/>
      <c r="W18" s="332">
        <v>2</v>
      </c>
      <c r="X18" s="314">
        <v>120000</v>
      </c>
      <c r="Y18" s="314">
        <f t="shared" si="7"/>
        <v>240000</v>
      </c>
      <c r="Z18" s="339"/>
      <c r="AA18" s="314"/>
      <c r="AB18" s="314">
        <f>Z18*AA18</f>
        <v>0</v>
      </c>
      <c r="AC18" s="328">
        <v>1</v>
      </c>
      <c r="AD18" s="314">
        <v>100000</v>
      </c>
      <c r="AE18" s="314">
        <f t="shared" si="8"/>
        <v>100000</v>
      </c>
      <c r="AF18" s="314">
        <v>2</v>
      </c>
      <c r="AG18" s="314">
        <v>60000</v>
      </c>
      <c r="AH18" s="314">
        <f t="shared" si="9"/>
        <v>120000</v>
      </c>
      <c r="AI18" s="314"/>
      <c r="AJ18" s="314"/>
      <c r="AK18" s="314"/>
      <c r="AL18" s="339"/>
      <c r="AM18" s="314"/>
      <c r="AN18" s="333"/>
      <c r="AO18" s="314">
        <v>2</v>
      </c>
      <c r="AP18" s="314">
        <v>120000</v>
      </c>
      <c r="AQ18" s="314">
        <f t="shared" si="10"/>
        <v>240000</v>
      </c>
      <c r="AR18" s="342">
        <f t="shared" ref="AR18:AR19" si="17">(287-285)/2</f>
        <v>1</v>
      </c>
      <c r="AS18" s="313">
        <v>4000</v>
      </c>
      <c r="AT18" s="313">
        <f t="shared" si="11"/>
        <v>4000</v>
      </c>
      <c r="AU18" s="321">
        <f t="shared" si="2"/>
        <v>1092000</v>
      </c>
      <c r="AV18" s="322">
        <f t="shared" si="3"/>
        <v>4092000</v>
      </c>
      <c r="AW18" s="314"/>
      <c r="AX18" s="334">
        <v>4092000</v>
      </c>
      <c r="AY18" s="324" t="str">
        <f t="shared" si="4"/>
        <v>Đủ</v>
      </c>
      <c r="AZ18" s="325">
        <f t="shared" si="5"/>
        <v>0</v>
      </c>
      <c r="BA18" s="335"/>
      <c r="BB18" s="319"/>
      <c r="BC18" s="314"/>
      <c r="BD18" s="314"/>
      <c r="BE18" s="314"/>
      <c r="BF18" s="314"/>
      <c r="BG18" s="314"/>
      <c r="BH18" s="314"/>
      <c r="BI18" s="314"/>
      <c r="BJ18" s="314"/>
      <c r="BK18" s="314"/>
      <c r="BL18" s="319"/>
      <c r="BM18" s="314"/>
      <c r="BN18" s="314"/>
      <c r="BO18" s="314"/>
      <c r="BP18" s="314"/>
      <c r="BQ18" s="314"/>
      <c r="BR18" s="314"/>
      <c r="BS18" s="336"/>
      <c r="BT18" s="314"/>
      <c r="BU18" s="336"/>
      <c r="BV18" s="314"/>
      <c r="BW18" s="314"/>
      <c r="BX18" s="314"/>
      <c r="BY18" s="314"/>
      <c r="BZ18" s="314"/>
      <c r="CA18" s="314"/>
      <c r="CB18" s="314"/>
      <c r="CC18" s="314"/>
      <c r="CD18" s="314"/>
      <c r="CE18" s="314"/>
      <c r="CF18" s="314"/>
      <c r="CG18" s="314"/>
    </row>
    <row r="19" spans="1:85" ht="22.5" customHeight="1">
      <c r="A19" s="328" t="s">
        <v>51</v>
      </c>
      <c r="B19" s="328" t="s">
        <v>144</v>
      </c>
      <c r="C19" s="314">
        <v>604</v>
      </c>
      <c r="D19" s="314" t="s">
        <v>238</v>
      </c>
      <c r="E19" s="314">
        <v>1</v>
      </c>
      <c r="F19" s="315">
        <v>3500000</v>
      </c>
      <c r="G19" s="330">
        <v>3500000</v>
      </c>
      <c r="H19" s="315">
        <v>3500000</v>
      </c>
      <c r="I19" s="315">
        <v>3500000</v>
      </c>
      <c r="J19" s="340"/>
      <c r="K19" s="314">
        <v>30</v>
      </c>
      <c r="L19" s="314">
        <v>30</v>
      </c>
      <c r="M19" s="331"/>
      <c r="N19" s="319"/>
      <c r="O19" s="339">
        <v>3</v>
      </c>
      <c r="P19" s="314">
        <v>1166</v>
      </c>
      <c r="Q19" s="314">
        <v>1606</v>
      </c>
      <c r="R19" s="314">
        <f t="shared" si="6"/>
        <v>440</v>
      </c>
      <c r="S19" s="319">
        <v>4000</v>
      </c>
      <c r="T19" s="319">
        <f t="shared" si="1"/>
        <v>1760000</v>
      </c>
      <c r="U19" s="314"/>
      <c r="V19" s="314"/>
      <c r="W19" s="332">
        <v>3</v>
      </c>
      <c r="X19" s="314">
        <v>120000</v>
      </c>
      <c r="Y19" s="314">
        <f t="shared" si="7"/>
        <v>360000</v>
      </c>
      <c r="Z19" s="339"/>
      <c r="AA19" s="314"/>
      <c r="AB19" s="314"/>
      <c r="AC19" s="328">
        <v>1</v>
      </c>
      <c r="AD19" s="314">
        <v>100000</v>
      </c>
      <c r="AE19" s="314">
        <f t="shared" si="8"/>
        <v>100000</v>
      </c>
      <c r="AF19" s="314">
        <v>3</v>
      </c>
      <c r="AG19" s="314">
        <v>60000</v>
      </c>
      <c r="AH19" s="314">
        <f t="shared" si="9"/>
        <v>180000</v>
      </c>
      <c r="AI19" s="314"/>
      <c r="AJ19" s="314"/>
      <c r="AK19" s="314"/>
      <c r="AL19" s="339"/>
      <c r="AM19" s="314"/>
      <c r="AN19" s="333"/>
      <c r="AO19" s="314">
        <v>3</v>
      </c>
      <c r="AP19" s="314">
        <v>120000</v>
      </c>
      <c r="AQ19" s="314">
        <f t="shared" si="10"/>
        <v>360000</v>
      </c>
      <c r="AR19" s="342">
        <f t="shared" si="17"/>
        <v>1</v>
      </c>
      <c r="AS19" s="313">
        <v>4000</v>
      </c>
      <c r="AT19" s="313">
        <f t="shared" si="11"/>
        <v>4000</v>
      </c>
      <c r="AU19" s="321">
        <f t="shared" si="2"/>
        <v>2764000</v>
      </c>
      <c r="AV19" s="322">
        <f t="shared" si="3"/>
        <v>6264000</v>
      </c>
      <c r="AW19" s="314"/>
      <c r="AX19" s="334">
        <v>6264000</v>
      </c>
      <c r="AY19" s="324" t="str">
        <f t="shared" si="4"/>
        <v>Đủ</v>
      </c>
      <c r="AZ19" s="325">
        <f t="shared" si="5"/>
        <v>0</v>
      </c>
      <c r="BA19" s="335"/>
      <c r="BB19" s="319"/>
      <c r="BC19" s="314"/>
      <c r="BD19" s="314"/>
      <c r="BE19" s="314"/>
      <c r="BF19" s="314"/>
      <c r="BG19" s="314"/>
      <c r="BH19" s="314"/>
      <c r="BI19" s="314"/>
      <c r="BJ19" s="314"/>
      <c r="BK19" s="314"/>
      <c r="BL19" s="319"/>
      <c r="BM19" s="314"/>
      <c r="BN19" s="314"/>
      <c r="BO19" s="314"/>
      <c r="BP19" s="314"/>
      <c r="BQ19" s="314"/>
      <c r="BR19" s="314"/>
      <c r="BS19" s="336"/>
      <c r="BT19" s="314"/>
      <c r="BU19" s="336"/>
      <c r="BV19" s="314"/>
      <c r="BW19" s="314"/>
      <c r="BX19" s="314"/>
      <c r="BY19" s="314"/>
      <c r="BZ19" s="314"/>
      <c r="CA19" s="314"/>
      <c r="CB19" s="314"/>
      <c r="CC19" s="314"/>
      <c r="CD19" s="314"/>
      <c r="CE19" s="314"/>
      <c r="CF19" s="314"/>
      <c r="CG19" s="314"/>
    </row>
  </sheetData>
  <mergeCells count="10">
    <mergeCell ref="AL1:AN1"/>
    <mergeCell ref="AO1:AQ1"/>
    <mergeCell ref="AR1:AT1"/>
    <mergeCell ref="BA1:BA2"/>
    <mergeCell ref="P1:T1"/>
    <mergeCell ref="U1:Y1"/>
    <mergeCell ref="Z1:AB1"/>
    <mergeCell ref="AC1:AE1"/>
    <mergeCell ref="AF1:AH1"/>
    <mergeCell ref="AI1:AK1"/>
  </mergeCells>
  <conditionalFormatting sqref="AZ4:AZ19">
    <cfRule type="notContainsBlanks" dxfId="0" priority="1">
      <formula>LEN(TRIM(AZ4))&gt;0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ĐẦU TƯ BAN ĐẦU</vt:lpstr>
      <vt:lpstr>THU CHI BAN ĐẦU</vt:lpstr>
      <vt:lpstr>HD T1.26</vt:lpstr>
      <vt:lpstr>BÁO CÁO THÁNG 2</vt:lpstr>
      <vt:lpstr>HĐ T2.26</vt:lpstr>
      <vt:lpstr>BÁO CÁO THÁNG 3</vt:lpstr>
      <vt:lpstr>HĐ T3.26 </vt:lpstr>
      <vt:lpstr>BÁO CÁO THÁNG 4</vt:lpstr>
      <vt:lpstr>HĐ T4.26 </vt:lpstr>
      <vt:lpstr>BÁO CÁO THÁNG 5</vt:lpstr>
      <vt:lpstr>HĐ T5.26 </vt:lpstr>
      <vt:lpstr>BÁO CÁO THÁNG 6</vt:lpstr>
      <vt:lpstr>HĐ T6.26 </vt:lpstr>
      <vt:lpstr>BÁO CÁO THÁNG 7</vt:lpstr>
      <vt:lpstr>HĐ T7.26  </vt:lpstr>
      <vt:lpstr>BÁO CÁO THÁNG 8</vt:lpstr>
      <vt:lpstr>HĐ T8.26 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2026-02-13T19:29:17Z</dcterms:created>
  <dcterms:modified xsi:type="dcterms:W3CDTF">2026-09-11T02:21:48Z</dcterms:modified>
</cp:coreProperties>
</file>